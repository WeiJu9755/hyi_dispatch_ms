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NB\Desktop\php\弘翊\"/>
    </mc:Choice>
  </mc:AlternateContent>
  <xr:revisionPtr revIDLastSave="0" documentId="13_ncr:1_{3390DB1F-BFB2-48EB-8DAA-464B72D2FC22}" xr6:coauthVersionLast="47" xr6:coauthVersionMax="47" xr10:uidLastSave="{00000000-0000-0000-0000-000000000000}"/>
  <bookViews>
    <workbookView xWindow="-110" yWindow="-110" windowWidth="25820" windowHeight="15500" xr2:uid="{C2BE47F0-03A7-4697-83FF-377255FF080E}"/>
  </bookViews>
  <sheets>
    <sheet name="工作表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 i="1" l="1"/>
  <c r="E17" i="1"/>
  <c r="D17" i="1"/>
  <c r="A17" i="1"/>
  <c r="D16" i="1"/>
  <c r="E16" i="1" s="1"/>
  <c r="A16" i="1"/>
  <c r="F16" i="1" s="1"/>
  <c r="D15" i="1"/>
  <c r="E15" i="1" s="1"/>
  <c r="A15" i="1"/>
  <c r="F15" i="1" s="1"/>
  <c r="F14" i="1"/>
  <c r="D14" i="1"/>
  <c r="E14" i="1" s="1"/>
  <c r="A14" i="1"/>
  <c r="D13" i="1"/>
  <c r="E13" i="1" s="1"/>
  <c r="A13" i="1"/>
  <c r="F13" i="1" s="1"/>
  <c r="F12" i="1"/>
  <c r="D12" i="1"/>
  <c r="E12" i="1" s="1"/>
  <c r="A12" i="1"/>
  <c r="E11" i="1"/>
  <c r="D11" i="1"/>
  <c r="A11" i="1"/>
  <c r="F11" i="1" s="1"/>
</calcChain>
</file>

<file path=xl/sharedStrings.xml><?xml version="1.0" encoding="utf-8"?>
<sst xmlns="http://schemas.openxmlformats.org/spreadsheetml/2006/main" count="69" uniqueCount="64">
  <si>
    <t>工作案號：</t>
  </si>
  <si>
    <t>工作施工日誌</t>
    <phoneticPr fontId="3" type="noConversion"/>
  </si>
  <si>
    <t>工作編號：</t>
  </si>
  <si>
    <r>
      <t>填報日期：</t>
    </r>
    <r>
      <rPr>
        <sz val="10"/>
        <color rgb="FF0000FF"/>
        <rFont val="標楷體"/>
        <family val="4"/>
        <charset val="136"/>
      </rPr>
      <t/>
    </r>
    <phoneticPr fontId="3" type="noConversion"/>
  </si>
  <si>
    <t>表報編號：</t>
  </si>
  <si>
    <t>工作名稱</t>
  </si>
  <si>
    <t>承攬廠商名稱</t>
  </si>
  <si>
    <t>弘翊機械工程有限公司</t>
  </si>
  <si>
    <t>契約工期</t>
  </si>
  <si>
    <t>累計工期</t>
  </si>
  <si>
    <t>天</t>
    <phoneticPr fontId="3" type="noConversion"/>
  </si>
  <si>
    <t>剩餘工期</t>
  </si>
  <si>
    <t>天</t>
  </si>
  <si>
    <t>開工日期</t>
  </si>
  <si>
    <t>契約變更次數</t>
  </si>
  <si>
    <t>次</t>
  </si>
  <si>
    <t>工期展延天數</t>
  </si>
  <si>
    <t>預定完工日期</t>
  </si>
  <si>
    <t>預定進度</t>
  </si>
  <si>
    <t>實際進度</t>
  </si>
  <si>
    <t>契約金額</t>
  </si>
  <si>
    <t>(%)</t>
  </si>
  <si>
    <t>變更後契約：</t>
  </si>
  <si>
    <t>一、依施工計畫書執行按圖施工概況（含約定之重要施工項目及完成數量等）：</t>
  </si>
  <si>
    <t>施工項目</t>
  </si>
  <si>
    <t>單位</t>
  </si>
  <si>
    <t>契約數量</t>
    <phoneticPr fontId="3" type="noConversion"/>
  </si>
  <si>
    <t>本日完成數量</t>
    <phoneticPr fontId="3" type="noConversion"/>
  </si>
  <si>
    <t>累計完成數量</t>
    <phoneticPr fontId="3" type="noConversion"/>
  </si>
  <si>
    <t>備註</t>
    <phoneticPr fontId="3" type="noConversion"/>
  </si>
  <si>
    <t>營造業專業工作特定施工項目</t>
  </si>
  <si>
    <t>N/A</t>
  </si>
  <si>
    <t>二、工地材料管理概況（含約定之重要材料使用狀況及數量等）：</t>
  </si>
  <si>
    <t>材料名稱</t>
  </si>
  <si>
    <t>設計數量</t>
  </si>
  <si>
    <t>本日使用數量</t>
  </si>
  <si>
    <t>累計使用數量</t>
  </si>
  <si>
    <t>備註</t>
  </si>
  <si>
    <t>三、工地人員及機具管理（含約定之出工人數及機具使用情形及數量）：</t>
  </si>
  <si>
    <t>工別</t>
  </si>
  <si>
    <t>本日人數</t>
  </si>
  <si>
    <t>累計人數</t>
  </si>
  <si>
    <t>機具名稱</t>
  </si>
  <si>
    <t>施工人員</t>
  </si>
  <si>
    <t>工安人員</t>
  </si>
  <si>
    <t>四、本日施工項目是否有須依「營造業專業工程特定施工項目應置之技術士總類、比率或人數標準表」規定應設置技術士之專業工作：□有□無 （此項如勾選“有”，則應填寫後附「工作施工日誌之技術士簽章表」）</t>
  </si>
  <si>
    <t>五、工地勞工安全衛生事項之督導、公共環境與安全之維護及其他工地行政事務：N/A</t>
    <phoneticPr fontId="3" type="noConversion"/>
  </si>
  <si>
    <t>六、施工取樣試驗紀錄：N/A</t>
    <phoneticPr fontId="3" type="noConversion"/>
  </si>
  <si>
    <t>七、通知分包廠商辦理事項：N/A</t>
    <phoneticPr fontId="3" type="noConversion"/>
  </si>
  <si>
    <t>八、重要事項紀錄（含主辦機關及監造單位指示、工地遇緊急異常狀況及需解決施工技術問題之通報處理情形、施工要徑、進度落後原因及因應對策等）： N/A</t>
    <phoneticPr fontId="3" type="noConversion"/>
  </si>
  <si>
    <t>九、本日是否須依營造業法第三十五條第三款請專任工作人員督察按圖施工：□是■否</t>
    <phoneticPr fontId="3" type="noConversion"/>
  </si>
  <si>
    <t>十、本日是否須依營造業法第三十五條第三款請專任工作人員解決施工技術問題：□是■否</t>
    <phoneticPr fontId="3" type="noConversion"/>
  </si>
  <si>
    <t>填表人簽名：</t>
  </si>
  <si>
    <t>工地負責人簽名：</t>
  </si>
  <si>
    <t>專任工作人員簽名：</t>
  </si>
  <si>
    <t>註：1.本施工日誌應按日填報。</t>
  </si>
  <si>
    <t xml:space="preserve">    2.本日誌填寫一式二聯，第一聯：甲方存，第二聯：乙方存。</t>
  </si>
  <si>
    <t xml:space="preserve">    4.第八項、第九項及第十項若須營造業專任工作人員到場，專任工作人員應簽名負責；廠商非屬營造業者免填。</t>
  </si>
  <si>
    <t xml:space="preserve">    6.公共工程屬建築物者，請依內政部96年6月6日台內營字第0960802950號令頒之「建築物施工日誌」填寫。</t>
  </si>
  <si>
    <t>工作地點：</t>
    <phoneticPr fontId="3" type="noConversion"/>
  </si>
  <si>
    <t>本日天氣：</t>
    <phoneticPr fontId="3" type="noConversion"/>
  </si>
  <si>
    <t>原契約：</t>
    <phoneticPr fontId="3" type="noConversion"/>
  </si>
  <si>
    <t xml:space="preserve">    3.本工作依營造業法第三十條規定須置工地主任者，由工地主任簽名；依上開規定免置工地主任者，則由營造業法第三十二條第二項所定之人員簽名。廠商非屬營造業者，由工地負責人簽名。</t>
    <phoneticPr fontId="3" type="noConversion"/>
  </si>
  <si>
    <t xml:space="preserve">    5.契約工期如有修正，應填修正後之契約工期，含展延工期及不計工期天數；如有依契約變更設計，預定進度及實際進度應填變更設計後計算之進度。</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</si>
</sst>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404]dddd;@"/>
    <numFmt numFmtId="177" formatCode="[$-404]e/m/d;@"/>
  </numFmts>
  <fonts count="8" x14ac:knownFonts="1">
    <font>
      <sz val="12"/>
      <color theme="1"/>
      <name val="新細明體"/>
      <family val="2"/>
      <charset val="136"/>
      <scheme val="minor"/>
    </font>
    <font>
      <sz val="11"/>
      <color rgb="FF000000"/>
      <name val="Arial"/>
      <family val="2"/>
    </font>
    <font>
      <sz val="11"/>
      <color rgb="FF000000"/>
      <name val="標楷體"/>
      <family val="4"/>
      <charset val="136"/>
    </font>
    <font>
      <sz val="9"/>
      <name val="新細明體"/>
      <family val="2"/>
      <charset val="136"/>
      <scheme val="minor"/>
    </font>
    <font>
      <b/>
      <sz val="16"/>
      <color rgb="FF000000"/>
      <name val="標楷體"/>
      <family val="4"/>
      <charset val="136"/>
    </font>
    <font>
      <sz val="10"/>
      <color rgb="FF0000FF"/>
      <name val="標楷體"/>
      <family val="4"/>
      <charset val="136"/>
    </font>
    <font>
      <sz val="11"/>
      <color theme="1"/>
      <name val="標楷體"/>
      <family val="4"/>
      <charset val="136"/>
    </font>
    <font>
      <sz val="10"/>
      <color rgb="FF000000"/>
      <name val="標楷體"/>
      <family val="4"/>
      <charset val="136"/>
    </font>
  </fonts>
  <fills count="2">
    <fill>
      <patternFill patternType="none"/>
    </fill>
    <fill>
      <patternFill patternType="gray125"/>
    </fill>
  </fills>
  <borders count="28">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thin">
        <color rgb="FF000000"/>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medium">
        <color indexed="64"/>
      </right>
      <top style="thin">
        <color rgb="FF000000"/>
      </top>
      <bottom style="medium">
        <color indexed="64"/>
      </bottom>
      <diagonal/>
    </border>
  </borders>
  <cellStyleXfs count="2">
    <xf numFmtId="0" fontId="0" fillId="0" borderId="0">
      <alignment vertical="center"/>
    </xf>
    <xf numFmtId="0" fontId="1" fillId="0" borderId="0">
      <alignment vertical="center"/>
    </xf>
  </cellStyleXfs>
  <cellXfs count="79">
    <xf numFmtId="0" fontId="0" fillId="0" borderId="0" xfId="0">
      <alignment vertical="center"/>
    </xf>
    <xf numFmtId="0" fontId="2" fillId="0" borderId="0" xfId="1" applyFont="1">
      <alignment vertical="center"/>
    </xf>
    <xf numFmtId="49" fontId="2" fillId="0" borderId="0" xfId="1" applyNumberFormat="1" applyFont="1" applyAlignment="1">
      <alignment horizontal="left" vertical="center"/>
    </xf>
    <xf numFmtId="0" fontId="4" fillId="0" borderId="0" xfId="1" applyFont="1" applyAlignment="1">
      <alignment horizontal="center" vertical="center"/>
    </xf>
    <xf numFmtId="0" fontId="2" fillId="0" borderId="0" xfId="1" applyFont="1" applyAlignment="1">
      <alignment horizontal="left" vertical="center"/>
    </xf>
    <xf numFmtId="176" fontId="2" fillId="0" borderId="0" xfId="0" applyNumberFormat="1" applyFont="1" applyAlignment="1">
      <alignment horizontal="left" vertical="center"/>
    </xf>
    <xf numFmtId="0" fontId="6" fillId="0" borderId="1" xfId="1" applyFont="1" applyBorder="1" applyAlignment="1">
      <alignment horizontal="center" vertical="center"/>
    </xf>
    <xf numFmtId="0" fontId="6" fillId="0" borderId="2" xfId="1" applyFont="1" applyBorder="1" applyAlignment="1">
      <alignment horizontal="left" vertical="center"/>
    </xf>
    <xf numFmtId="0" fontId="6" fillId="0" borderId="3" xfId="1" applyFont="1" applyBorder="1" applyAlignment="1">
      <alignment horizontal="left" vertical="center"/>
    </xf>
    <xf numFmtId="0" fontId="6" fillId="0" borderId="4" xfId="1" applyFont="1" applyBorder="1" applyAlignment="1">
      <alignment horizontal="left" vertical="center"/>
    </xf>
    <xf numFmtId="0" fontId="6" fillId="0" borderId="5" xfId="1" applyFont="1" applyBorder="1">
      <alignment vertical="center"/>
    </xf>
    <xf numFmtId="0" fontId="6" fillId="0" borderId="5" xfId="1" applyFont="1" applyBorder="1" applyAlignment="1">
      <alignment horizontal="left" vertical="center"/>
    </xf>
    <xf numFmtId="0" fontId="6" fillId="0" borderId="6" xfId="1" applyFont="1" applyBorder="1" applyAlignment="1">
      <alignment horizontal="center" vertical="center" wrapText="1"/>
    </xf>
    <xf numFmtId="0" fontId="6" fillId="0" borderId="6" xfId="1" applyFont="1" applyBorder="1" applyAlignment="1">
      <alignment horizontal="right" vertical="center" wrapText="1"/>
    </xf>
    <xf numFmtId="0" fontId="6" fillId="0" borderId="3" xfId="1" applyFont="1" applyBorder="1" applyAlignment="1">
      <alignment horizontal="center" vertical="center" wrapText="1"/>
    </xf>
    <xf numFmtId="0" fontId="6" fillId="0" borderId="4" xfId="1" applyFont="1" applyBorder="1" applyAlignment="1">
      <alignment horizontal="center" vertical="center" wrapText="1"/>
    </xf>
    <xf numFmtId="0" fontId="6" fillId="0" borderId="5" xfId="1" applyFont="1" applyBorder="1" applyAlignment="1">
      <alignment horizontal="right" vertical="center" wrapText="1"/>
    </xf>
    <xf numFmtId="0" fontId="6" fillId="0" borderId="5" xfId="1" applyFont="1" applyBorder="1" applyAlignment="1">
      <alignment horizontal="center" vertical="center" wrapText="1"/>
    </xf>
    <xf numFmtId="0" fontId="6" fillId="0" borderId="7" xfId="1" applyFont="1" applyBorder="1" applyAlignment="1">
      <alignment horizontal="right" vertical="center" wrapText="1"/>
    </xf>
    <xf numFmtId="0" fontId="6" fillId="0" borderId="4" xfId="1" applyFont="1" applyBorder="1" applyAlignment="1">
      <alignment horizontal="right" vertical="center" wrapText="1"/>
    </xf>
    <xf numFmtId="177" fontId="6" fillId="0" borderId="5" xfId="1" applyNumberFormat="1" applyFont="1" applyBorder="1" applyAlignment="1">
      <alignment horizontal="left" vertical="center" wrapText="1"/>
    </xf>
    <xf numFmtId="0" fontId="6" fillId="0" borderId="6" xfId="1" applyFont="1" applyBorder="1" applyAlignment="1">
      <alignment horizontal="center" vertical="center" wrapText="1"/>
    </xf>
    <xf numFmtId="0" fontId="6" fillId="0" borderId="8" xfId="1" applyFont="1" applyBorder="1" applyAlignment="1">
      <alignment horizontal="right" vertical="center" wrapText="1"/>
    </xf>
    <xf numFmtId="0" fontId="6" fillId="0" borderId="7" xfId="1" applyFont="1" applyBorder="1" applyAlignment="1">
      <alignment horizontal="center" vertical="center" wrapText="1"/>
    </xf>
    <xf numFmtId="0" fontId="6" fillId="0" borderId="9" xfId="1" applyFont="1" applyBorder="1" applyAlignment="1">
      <alignment horizontal="center" vertical="center" wrapText="1"/>
    </xf>
    <xf numFmtId="0" fontId="6" fillId="0" borderId="10" xfId="1" applyFont="1" applyBorder="1" applyAlignment="1">
      <alignment horizontal="center" vertical="center" wrapText="1"/>
    </xf>
    <xf numFmtId="0" fontId="6" fillId="0" borderId="11" xfId="1" applyFont="1" applyBorder="1" applyAlignment="1">
      <alignment horizontal="center" vertical="center" wrapText="1"/>
    </xf>
    <xf numFmtId="0" fontId="6" fillId="0" borderId="12" xfId="1" applyFont="1" applyBorder="1" applyAlignment="1">
      <alignment horizontal="center" vertical="center" wrapText="1"/>
    </xf>
    <xf numFmtId="0" fontId="6" fillId="0" borderId="1" xfId="1" applyFont="1" applyBorder="1" applyAlignment="1">
      <alignment horizontal="center" vertical="center" wrapText="1"/>
    </xf>
    <xf numFmtId="0" fontId="6" fillId="0" borderId="1" xfId="1" applyFont="1" applyBorder="1" applyAlignment="1">
      <alignment horizontal="center" vertical="center" wrapText="1"/>
    </xf>
    <xf numFmtId="0" fontId="6" fillId="0" borderId="2" xfId="1" applyFont="1" applyBorder="1" applyAlignment="1">
      <alignment horizontal="center" vertical="center" wrapText="1"/>
    </xf>
    <xf numFmtId="0" fontId="6" fillId="0" borderId="7" xfId="1" applyFont="1" applyBorder="1" applyAlignment="1">
      <alignment horizontal="left" vertical="center" wrapText="1"/>
    </xf>
    <xf numFmtId="0" fontId="6" fillId="0" borderId="4" xfId="1" applyFont="1" applyBorder="1" applyAlignment="1">
      <alignment horizontal="left" vertical="center" wrapText="1"/>
    </xf>
    <xf numFmtId="0" fontId="6" fillId="0" borderId="13" xfId="1" applyFont="1" applyBorder="1" applyAlignment="1">
      <alignment horizontal="center" vertical="center" wrapText="1"/>
    </xf>
    <xf numFmtId="0" fontId="6" fillId="0" borderId="14" xfId="1" applyFont="1" applyBorder="1" applyAlignment="1">
      <alignment horizontal="center" vertical="center" wrapText="1"/>
    </xf>
    <xf numFmtId="0" fontId="6" fillId="0" borderId="15" xfId="1" applyFont="1" applyBorder="1" applyAlignment="1">
      <alignment horizontal="center" vertical="center" wrapText="1"/>
    </xf>
    <xf numFmtId="0" fontId="6" fillId="0" borderId="16" xfId="1" applyFont="1" applyBorder="1" applyAlignment="1">
      <alignment horizontal="center" vertical="center" wrapText="1"/>
    </xf>
    <xf numFmtId="0" fontId="6" fillId="0" borderId="13" xfId="1" applyFont="1" applyBorder="1" applyAlignment="1">
      <alignment horizontal="center" vertical="center" wrapText="1"/>
    </xf>
    <xf numFmtId="0" fontId="2" fillId="0" borderId="13" xfId="1" applyFont="1" applyBorder="1" applyAlignment="1">
      <alignment horizontal="left" vertical="center"/>
    </xf>
    <xf numFmtId="0" fontId="2" fillId="0" borderId="5" xfId="1" applyFont="1" applyBorder="1" applyAlignment="1">
      <alignment horizontal="left" vertical="center"/>
    </xf>
    <xf numFmtId="0" fontId="2" fillId="0" borderId="7" xfId="1" applyFont="1" applyBorder="1" applyAlignment="1">
      <alignment horizontal="center" vertical="center" wrapText="1"/>
    </xf>
    <xf numFmtId="0" fontId="2" fillId="0" borderId="3" xfId="1" applyFont="1" applyBorder="1" applyAlignment="1">
      <alignment horizontal="center" vertical="center" wrapText="1"/>
    </xf>
    <xf numFmtId="0" fontId="2" fillId="0" borderId="4" xfId="1" applyFont="1" applyBorder="1" applyAlignment="1">
      <alignment horizontal="center" vertical="center" wrapText="1"/>
    </xf>
    <xf numFmtId="0" fontId="2" fillId="0" borderId="5" xfId="1" applyFont="1" applyBorder="1" applyAlignment="1">
      <alignment horizontal="center" vertical="center" wrapText="1"/>
    </xf>
    <xf numFmtId="0" fontId="7" fillId="0" borderId="7" xfId="1" applyFont="1" applyBorder="1" applyAlignment="1">
      <alignment horizontal="center" vertical="center" wrapText="1"/>
    </xf>
    <xf numFmtId="0" fontId="7" fillId="0" borderId="4" xfId="1" applyFont="1" applyBorder="1" applyAlignment="1">
      <alignment horizontal="center" vertical="center" wrapText="1"/>
    </xf>
    <xf numFmtId="0" fontId="2" fillId="0" borderId="7" xfId="1" applyFont="1" applyBorder="1" applyAlignment="1">
      <alignment vertical="center" wrapText="1"/>
    </xf>
    <xf numFmtId="0" fontId="2" fillId="0" borderId="3" xfId="1" applyFont="1" applyBorder="1" applyAlignment="1">
      <alignment vertical="center" wrapText="1"/>
    </xf>
    <xf numFmtId="0" fontId="2" fillId="0" borderId="4" xfId="1" applyFont="1" applyBorder="1" applyAlignment="1">
      <alignment vertical="center" wrapText="1"/>
    </xf>
    <xf numFmtId="0" fontId="2" fillId="0" borderId="7" xfId="1" applyFont="1" applyBorder="1" applyAlignment="1">
      <alignment horizontal="left" vertical="center" wrapText="1"/>
    </xf>
    <xf numFmtId="0" fontId="2" fillId="0" borderId="4" xfId="1" applyFont="1" applyBorder="1" applyAlignment="1">
      <alignment horizontal="left" vertical="center" wrapText="1"/>
    </xf>
    <xf numFmtId="0" fontId="2" fillId="0" borderId="17" xfId="1" applyFont="1" applyBorder="1" applyAlignment="1">
      <alignment horizontal="center" vertical="center" wrapText="1"/>
    </xf>
    <xf numFmtId="0" fontId="2" fillId="0" borderId="18" xfId="1" applyFont="1" applyBorder="1" applyAlignment="1">
      <alignment horizontal="center" vertical="center" wrapText="1"/>
    </xf>
    <xf numFmtId="0" fontId="2" fillId="0" borderId="18" xfId="1" applyFont="1" applyBorder="1" applyAlignment="1">
      <alignment horizontal="center" vertical="center" wrapText="1"/>
    </xf>
    <xf numFmtId="0" fontId="2" fillId="0" borderId="19" xfId="1" applyFont="1" applyBorder="1" applyAlignment="1">
      <alignment horizontal="center" vertical="center" wrapText="1"/>
    </xf>
    <xf numFmtId="0" fontId="2" fillId="0" borderId="20" xfId="1" applyFont="1" applyBorder="1" applyAlignment="1">
      <alignment horizontal="center" vertical="center" wrapText="1"/>
    </xf>
    <xf numFmtId="0" fontId="2" fillId="0" borderId="21" xfId="1" applyFont="1" applyBorder="1" applyAlignment="1">
      <alignment horizontal="center" vertical="center" wrapText="1"/>
    </xf>
    <xf numFmtId="0" fontId="2" fillId="0" borderId="22" xfId="1" applyFont="1" applyBorder="1" applyAlignment="1">
      <alignment horizontal="center" vertical="center" wrapText="1"/>
    </xf>
    <xf numFmtId="0" fontId="2" fillId="0" borderId="23" xfId="1" applyFont="1" applyBorder="1" applyAlignment="1">
      <alignment horizontal="center" vertical="center" wrapText="1"/>
    </xf>
    <xf numFmtId="0" fontId="2" fillId="0" borderId="24" xfId="1" applyFont="1" applyBorder="1" applyAlignment="1">
      <alignment horizontal="center" vertical="center" wrapText="1"/>
    </xf>
    <xf numFmtId="0" fontId="2" fillId="0" borderId="25" xfId="1" applyFont="1" applyBorder="1" applyAlignment="1">
      <alignment horizontal="center" vertical="center" wrapText="1"/>
    </xf>
    <xf numFmtId="0" fontId="2" fillId="0" borderId="26" xfId="1" applyFont="1" applyBorder="1" applyAlignment="1">
      <alignment horizontal="center" vertical="center" wrapText="1"/>
    </xf>
    <xf numFmtId="0" fontId="2" fillId="0" borderId="27" xfId="1" applyFont="1" applyBorder="1" applyAlignment="1">
      <alignment horizontal="center" vertical="center" wrapText="1"/>
    </xf>
    <xf numFmtId="0" fontId="2" fillId="0" borderId="14" xfId="1" applyFont="1" applyBorder="1" applyAlignment="1">
      <alignment horizontal="left" vertical="center"/>
    </xf>
    <xf numFmtId="0" fontId="2" fillId="0" borderId="15" xfId="1" applyFont="1" applyBorder="1" applyAlignment="1">
      <alignment horizontal="left" vertical="center"/>
    </xf>
    <xf numFmtId="0" fontId="2" fillId="0" borderId="16" xfId="1" applyFont="1" applyBorder="1" applyAlignment="1">
      <alignment horizontal="left" vertical="center"/>
    </xf>
    <xf numFmtId="0" fontId="2" fillId="0" borderId="5" xfId="1" applyFont="1" applyBorder="1" applyAlignment="1">
      <alignment horizontal="center" vertical="center" wrapText="1"/>
    </xf>
    <xf numFmtId="0" fontId="2" fillId="0" borderId="5" xfId="1" applyFont="1" applyBorder="1" applyAlignment="1">
      <alignment vertical="center" wrapText="1"/>
    </xf>
    <xf numFmtId="0" fontId="2" fillId="0" borderId="7" xfId="1" applyFont="1" applyBorder="1" applyAlignment="1">
      <alignment horizontal="left" vertical="center"/>
    </xf>
    <xf numFmtId="0" fontId="2" fillId="0" borderId="3" xfId="1" applyFont="1" applyBorder="1" applyAlignment="1">
      <alignment horizontal="left" vertical="center"/>
    </xf>
    <xf numFmtId="0" fontId="2" fillId="0" borderId="4" xfId="1" applyFont="1" applyBorder="1" applyAlignment="1">
      <alignment horizontal="left" vertical="center"/>
    </xf>
    <xf numFmtId="0" fontId="2" fillId="0" borderId="5" xfId="1" applyFont="1" applyBorder="1" applyAlignment="1">
      <alignment horizontal="left" vertical="center" wrapText="1"/>
    </xf>
    <xf numFmtId="0" fontId="2" fillId="0" borderId="5" xfId="1" applyFont="1" applyBorder="1" applyAlignment="1">
      <alignment horizontal="left" vertical="top"/>
    </xf>
    <xf numFmtId="0" fontId="7" fillId="0" borderId="7" xfId="1" applyFont="1" applyBorder="1" applyAlignment="1">
      <alignment horizontal="left" vertical="top" wrapText="1"/>
    </xf>
    <xf numFmtId="0" fontId="7" fillId="0" borderId="3" xfId="1" applyFont="1" applyBorder="1" applyAlignment="1">
      <alignment horizontal="left" vertical="top" wrapText="1"/>
    </xf>
    <xf numFmtId="0" fontId="7" fillId="0" borderId="4" xfId="1" applyFont="1" applyBorder="1" applyAlignment="1">
      <alignment horizontal="left" vertical="top" wrapText="1"/>
    </xf>
    <xf numFmtId="0" fontId="2" fillId="0" borderId="5" xfId="1" applyFont="1" applyBorder="1" applyAlignment="1">
      <alignment horizontal="left" vertical="top" wrapText="1"/>
    </xf>
    <xf numFmtId="0" fontId="7" fillId="0" borderId="0" xfId="1" applyFont="1" applyAlignment="1">
      <alignment horizontal="left" vertical="center"/>
    </xf>
    <xf numFmtId="0" fontId="7" fillId="0" borderId="0" xfId="1" applyFont="1" applyAlignment="1">
      <alignment horizontal="left" vertical="center" wrapText="1"/>
    </xf>
  </cellXfs>
  <cellStyles count="2">
    <cellStyle name="一般" xfId="0" builtinId="0"/>
    <cellStyle name="一般 5" xfId="1" xr:uid="{F4C38E82-BDB2-4B89-8D4E-D0B22E44838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B\Desktop\php\&#24344;&#32714;\115&#29028;&#28784;&#26085;&#35468;.xlsx" TargetMode="External"/><Relationship Id="rId1" Type="http://schemas.openxmlformats.org/officeDocument/2006/relationships/externalLinkPath" Target="115&#29028;&#28784;&#26085;&#3546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請款明細"/>
      <sheetName val="出工.材料明細"/>
      <sheetName val="1月"/>
      <sheetName val="1月細項"/>
      <sheetName val="2月"/>
      <sheetName val="2月細項"/>
      <sheetName val="3月"/>
      <sheetName val="3月細項"/>
      <sheetName val="4月"/>
      <sheetName val="4月細項"/>
      <sheetName val="5月"/>
      <sheetName val="5月細項"/>
      <sheetName val="6月"/>
      <sheetName val="6月細項"/>
      <sheetName val="7月"/>
      <sheetName val="7月細項"/>
      <sheetName val="8月"/>
      <sheetName val="8月細項"/>
      <sheetName val="9月"/>
      <sheetName val="9月細項"/>
      <sheetName val="10月"/>
      <sheetName val="10月細項"/>
      <sheetName val="11月"/>
      <sheetName val="11月細項"/>
      <sheetName val="12月"/>
      <sheetName val="12月細項"/>
      <sheetName val="施工日誌"/>
      <sheetName val="監造報表"/>
      <sheetName val="工作表1"/>
    </sheetNames>
    <sheetDataSet>
      <sheetData sheetId="0">
        <row r="4">
          <cell r="A4">
            <v>1</v>
          </cell>
          <cell r="B4" t="str">
            <v>各式空氣壓縮機檢修</v>
          </cell>
          <cell r="C4" t="str">
            <v>台</v>
          </cell>
          <cell r="D4">
            <v>4950</v>
          </cell>
          <cell r="E4">
            <v>4</v>
          </cell>
        </row>
        <row r="5">
          <cell r="A5">
            <v>2</v>
          </cell>
          <cell r="B5" t="str">
            <v>各式冷凍式乾燥機與吸附式乾燥機檢修</v>
          </cell>
          <cell r="C5" t="str">
            <v>台</v>
          </cell>
          <cell r="D5">
            <v>4950</v>
          </cell>
          <cell r="E5">
            <v>4</v>
          </cell>
        </row>
        <row r="6">
          <cell r="A6">
            <v>3</v>
          </cell>
          <cell r="B6" t="str">
            <v>脈衝空壓機2000小時小保養</v>
          </cell>
          <cell r="C6" t="str">
            <v>台</v>
          </cell>
          <cell r="D6">
            <v>10584</v>
          </cell>
          <cell r="E6">
            <v>12</v>
          </cell>
        </row>
        <row r="7">
          <cell r="A7">
            <v>4</v>
          </cell>
          <cell r="B7" t="str">
            <v>脈衝空壓機4000小時大保養</v>
          </cell>
          <cell r="C7" t="str">
            <v>台</v>
          </cell>
          <cell r="D7">
            <v>22795</v>
          </cell>
          <cell r="E7">
            <v>9</v>
          </cell>
        </row>
        <row r="8">
          <cell r="A8">
            <v>5</v>
          </cell>
          <cell r="B8" t="str">
            <v>脈衝空壓機維修包套件更換</v>
          </cell>
          <cell r="C8" t="str">
            <v>套</v>
          </cell>
          <cell r="D8">
            <v>9770</v>
          </cell>
          <cell r="E8">
            <v>9</v>
          </cell>
        </row>
        <row r="9">
          <cell r="A9">
            <v>6</v>
          </cell>
          <cell r="B9" t="str">
            <v>排氣閥門活塞螺桿及銅套更換</v>
          </cell>
          <cell r="C9" t="str">
            <v>只</v>
          </cell>
          <cell r="D9">
            <v>29329</v>
          </cell>
          <cell r="E9">
            <v>3</v>
          </cell>
        </row>
        <row r="10">
          <cell r="A10">
            <v>7</v>
          </cell>
          <cell r="B10" t="str">
            <v>脈衝空壓機閥類更換</v>
          </cell>
          <cell r="C10" t="str">
            <v>只</v>
          </cell>
          <cell r="D10">
            <v>9770</v>
          </cell>
          <cell r="E10">
            <v>3</v>
          </cell>
        </row>
        <row r="11">
          <cell r="A11">
            <v>8</v>
          </cell>
          <cell r="B11" t="str">
            <v>脈衝空壓機主機更換</v>
          </cell>
          <cell r="C11" t="str">
            <v>只</v>
          </cell>
          <cell r="D11">
            <v>191325</v>
          </cell>
          <cell r="E11">
            <v>1</v>
          </cell>
        </row>
        <row r="12">
          <cell r="A12">
            <v>9</v>
          </cell>
          <cell r="B12" t="str">
            <v>脈衝空壓機冷卻器更換</v>
          </cell>
          <cell r="C12" t="str">
            <v>只</v>
          </cell>
          <cell r="D12">
            <v>65131</v>
          </cell>
          <cell r="E12">
            <v>1</v>
          </cell>
        </row>
        <row r="13">
          <cell r="A13">
            <v>10</v>
          </cell>
          <cell r="B13" t="str">
            <v>脈衝空壓機冷卻器清潔</v>
          </cell>
          <cell r="C13" t="str">
            <v>只</v>
          </cell>
          <cell r="D13">
            <v>40708</v>
          </cell>
          <cell r="E13">
            <v>1</v>
          </cell>
        </row>
        <row r="14">
          <cell r="A14">
            <v>11</v>
          </cell>
          <cell r="B14" t="str">
            <v>脈衝空壓機油冷卻器更換</v>
          </cell>
          <cell r="C14" t="str">
            <v>只</v>
          </cell>
          <cell r="D14">
            <v>44777</v>
          </cell>
          <cell r="E14">
            <v>1</v>
          </cell>
        </row>
        <row r="15">
          <cell r="A15">
            <v>12</v>
          </cell>
          <cell r="B15" t="str">
            <v>脈衝空壓機油冷卻器清潔</v>
          </cell>
          <cell r="C15" t="str">
            <v>只</v>
          </cell>
          <cell r="D15">
            <v>20354</v>
          </cell>
          <cell r="E15">
            <v>1</v>
          </cell>
        </row>
        <row r="16">
          <cell r="A16">
            <v>13</v>
          </cell>
          <cell r="B16" t="str">
            <v>脈衝空壓機洩水管路檢修</v>
          </cell>
          <cell r="C16" t="str">
            <v>台</v>
          </cell>
          <cell r="D16">
            <v>5866</v>
          </cell>
          <cell r="E16">
            <v>5</v>
          </cell>
        </row>
        <row r="17">
          <cell r="A17">
            <v>14</v>
          </cell>
          <cell r="B17" t="str">
            <v>脈衝空壓機閥類檢修</v>
          </cell>
          <cell r="C17" t="str">
            <v>台</v>
          </cell>
          <cell r="D17">
            <v>4979</v>
          </cell>
          <cell r="E17">
            <v>1</v>
          </cell>
        </row>
        <row r="18">
          <cell r="A18">
            <v>15</v>
          </cell>
          <cell r="B18" t="str">
            <v>脈衝空壓機高壓管路清潔</v>
          </cell>
          <cell r="C18" t="str">
            <v>台</v>
          </cell>
          <cell r="D18">
            <v>97697</v>
          </cell>
          <cell r="E18">
            <v>1</v>
          </cell>
        </row>
        <row r="19">
          <cell r="A19">
            <v>16</v>
          </cell>
          <cell r="B19" t="str">
            <v>脈衝空壓機膨脹接頭更換</v>
          </cell>
          <cell r="C19" t="str">
            <v>只</v>
          </cell>
          <cell r="D19">
            <v>44783</v>
          </cell>
          <cell r="E19">
            <v>1</v>
          </cell>
        </row>
        <row r="20">
          <cell r="A20">
            <v>17</v>
          </cell>
          <cell r="B20" t="str">
            <v>脈衝空壓機高壓管路漏氣墊圈更換</v>
          </cell>
          <cell r="C20" t="str">
            <v>只</v>
          </cell>
          <cell r="D20">
            <v>21124</v>
          </cell>
          <cell r="E20">
            <v>3</v>
          </cell>
        </row>
        <row r="21">
          <cell r="A21">
            <v>18</v>
          </cell>
          <cell r="B21" t="str">
            <v>吸附式乾燥器添加氧化鋁</v>
          </cell>
          <cell r="C21" t="str">
            <v>KG</v>
          </cell>
          <cell r="D21">
            <v>272</v>
          </cell>
          <cell r="E21">
            <v>800</v>
          </cell>
        </row>
        <row r="22">
          <cell r="A22">
            <v>19</v>
          </cell>
          <cell r="B22" t="str">
            <v>吸附式乾燥器後置過濾器8113HDDL濾芯更換</v>
          </cell>
          <cell r="C22" t="str">
            <v>台</v>
          </cell>
          <cell r="D22">
            <v>24831</v>
          </cell>
          <cell r="E22">
            <v>1</v>
          </cell>
        </row>
        <row r="23">
          <cell r="A23">
            <v>20</v>
          </cell>
          <cell r="B23" t="str">
            <v>吸附式乾燥器前置過濾器8113PFD濾芯更換</v>
          </cell>
          <cell r="C23" t="str">
            <v>台</v>
          </cell>
          <cell r="D23">
            <v>20598</v>
          </cell>
          <cell r="E23">
            <v>1</v>
          </cell>
        </row>
        <row r="24">
          <cell r="A24">
            <v>21</v>
          </cell>
          <cell r="B24" t="str">
            <v>吸附式乾燥器後置過濾器E2489XS濾芯更換(#2-2、#3-1/2)</v>
          </cell>
          <cell r="C24" t="str">
            <v>台</v>
          </cell>
          <cell r="D24">
            <v>89556</v>
          </cell>
          <cell r="E24">
            <v>1</v>
          </cell>
        </row>
        <row r="25">
          <cell r="A25">
            <v>22</v>
          </cell>
          <cell r="B25" t="str">
            <v>吸附式乾燥器前置過濾器E2489XP-1濾芯更換(#2-2、#3-1/2)</v>
          </cell>
          <cell r="C25" t="str">
            <v>台</v>
          </cell>
          <cell r="D25">
            <v>89556</v>
          </cell>
          <cell r="E25">
            <v>1</v>
          </cell>
        </row>
        <row r="26">
          <cell r="A26">
            <v>23</v>
          </cell>
          <cell r="B26" t="str">
            <v>吸附式乾燥器後置過濾器E2489XP-2濾芯更換(#2-2、#3-1/2)</v>
          </cell>
          <cell r="C26" t="str">
            <v>台</v>
          </cell>
          <cell r="D26">
            <v>89556</v>
          </cell>
          <cell r="E26">
            <v>1</v>
          </cell>
        </row>
        <row r="27">
          <cell r="A27">
            <v>24</v>
          </cell>
          <cell r="B27" t="str">
            <v>吸附式乾燥器儀用濾芯更換(#3-1)</v>
          </cell>
          <cell r="C27" t="str">
            <v>台</v>
          </cell>
          <cell r="D27">
            <v>14248</v>
          </cell>
          <cell r="E27">
            <v>1</v>
          </cell>
        </row>
        <row r="28">
          <cell r="A28">
            <v>25</v>
          </cell>
          <cell r="B28" t="str">
            <v>吸附式乾燥器二道油氣分離器BU-400更換(#2-2、#3-1/2)</v>
          </cell>
          <cell r="C28" t="str">
            <v>台</v>
          </cell>
          <cell r="D28">
            <v>70830</v>
          </cell>
          <cell r="E28">
            <v>1</v>
          </cell>
        </row>
        <row r="29">
          <cell r="A29">
            <v>26</v>
          </cell>
          <cell r="B29" t="str">
            <v>吸附式乾燥器3吋消音器更換</v>
          </cell>
          <cell r="C29" t="str">
            <v>台</v>
          </cell>
          <cell r="D29">
            <v>21574</v>
          </cell>
          <cell r="E29">
            <v>4</v>
          </cell>
        </row>
        <row r="30">
          <cell r="A30">
            <v>27</v>
          </cell>
          <cell r="B30" t="str">
            <v>吸附式乾燥器2-1/2吋消音器更換</v>
          </cell>
          <cell r="C30" t="str">
            <v>台</v>
          </cell>
          <cell r="D30">
            <v>10584</v>
          </cell>
          <cell r="E30">
            <v>4</v>
          </cell>
        </row>
        <row r="31">
          <cell r="A31">
            <v>28</v>
          </cell>
          <cell r="B31" t="str">
            <v>吸附式乾燥器3吋蝶閥更換</v>
          </cell>
          <cell r="C31" t="str">
            <v>只</v>
          </cell>
          <cell r="D31">
            <v>19783</v>
          </cell>
          <cell r="E31">
            <v>8</v>
          </cell>
        </row>
        <row r="32">
          <cell r="A32">
            <v>29</v>
          </cell>
          <cell r="B32" t="str">
            <v>正壓風機保養</v>
          </cell>
          <cell r="C32" t="str">
            <v>台</v>
          </cell>
          <cell r="D32">
            <v>26403</v>
          </cell>
          <cell r="E32">
            <v>12</v>
          </cell>
        </row>
        <row r="33">
          <cell r="A33">
            <v>30</v>
          </cell>
          <cell r="B33" t="str">
            <v>正壓風機油管更換</v>
          </cell>
          <cell r="C33" t="str">
            <v>只</v>
          </cell>
          <cell r="D33">
            <v>21534</v>
          </cell>
          <cell r="E33">
            <v>2</v>
          </cell>
        </row>
        <row r="34">
          <cell r="A34">
            <v>31</v>
          </cell>
          <cell r="B34" t="str">
            <v>正壓風機閥類及零組件更換</v>
          </cell>
          <cell r="C34" t="str">
            <v>只</v>
          </cell>
          <cell r="D34">
            <v>8963</v>
          </cell>
          <cell r="E34">
            <v>5</v>
          </cell>
        </row>
        <row r="35">
          <cell r="A35">
            <v>32</v>
          </cell>
          <cell r="B35" t="str">
            <v>正壓風機出口逆止閥更換</v>
          </cell>
          <cell r="C35" t="str">
            <v>只</v>
          </cell>
          <cell r="D35">
            <v>20721</v>
          </cell>
          <cell r="E35">
            <v>3</v>
          </cell>
        </row>
        <row r="36">
          <cell r="A36">
            <v>33</v>
          </cell>
          <cell r="B36" t="str">
            <v>正壓風機機體更換</v>
          </cell>
          <cell r="C36" t="str">
            <v>台</v>
          </cell>
          <cell r="D36">
            <v>99365</v>
          </cell>
          <cell r="E36">
            <v>1</v>
          </cell>
        </row>
        <row r="37">
          <cell r="A37">
            <v>34</v>
          </cell>
          <cell r="B37" t="str">
            <v>正壓風機冷卻器更換</v>
          </cell>
          <cell r="C37" t="str">
            <v>只</v>
          </cell>
          <cell r="D37">
            <v>33199</v>
          </cell>
          <cell r="E37">
            <v>2</v>
          </cell>
        </row>
        <row r="38">
          <cell r="A38">
            <v>35</v>
          </cell>
          <cell r="B38" t="str">
            <v>正壓風機冷卻器清潔</v>
          </cell>
          <cell r="C38" t="str">
            <v>只</v>
          </cell>
          <cell r="D38">
            <v>19918</v>
          </cell>
          <cell r="E38">
            <v>1</v>
          </cell>
        </row>
        <row r="39">
          <cell r="A39">
            <v>36</v>
          </cell>
          <cell r="B39" t="str">
            <v>冷凍式乾燥器前置過濾器E2670XP濾芯更換(#1A/1B)</v>
          </cell>
          <cell r="C39" t="str">
            <v>台</v>
          </cell>
          <cell r="D39">
            <v>61874</v>
          </cell>
          <cell r="E39">
            <v>1</v>
          </cell>
        </row>
        <row r="40">
          <cell r="A40">
            <v>37</v>
          </cell>
          <cell r="B40" t="str">
            <v>冷凍式乾燥器前置過濾器E2489XP濾芯更換(#2A/B；#3A/B)</v>
          </cell>
          <cell r="C40" t="str">
            <v>台</v>
          </cell>
          <cell r="D40">
            <v>61874</v>
          </cell>
          <cell r="E40">
            <v>1</v>
          </cell>
        </row>
        <row r="41">
          <cell r="A41">
            <v>38</v>
          </cell>
          <cell r="B41" t="str">
            <v>冷凍式乾燥器二道油氣分離器BU-400更換(#1A/B)</v>
          </cell>
          <cell r="C41" t="str">
            <v>台</v>
          </cell>
          <cell r="D41">
            <v>70830</v>
          </cell>
          <cell r="E41">
            <v>1</v>
          </cell>
        </row>
        <row r="42">
          <cell r="A42">
            <v>39</v>
          </cell>
          <cell r="B42" t="str">
            <v>冷凍式乾燥器全合成冷凍油(S90)更換</v>
          </cell>
          <cell r="C42" t="str">
            <v>台</v>
          </cell>
          <cell r="D42">
            <v>21167</v>
          </cell>
          <cell r="E42">
            <v>1</v>
          </cell>
        </row>
        <row r="43">
          <cell r="A43">
            <v>40</v>
          </cell>
          <cell r="B43" t="str">
            <v>冷凍式乾燥器乾燥罐(D-48)更換</v>
          </cell>
          <cell r="C43" t="str">
            <v>台</v>
          </cell>
          <cell r="D43">
            <v>15062</v>
          </cell>
          <cell r="E43">
            <v>1</v>
          </cell>
        </row>
        <row r="44">
          <cell r="A44">
            <v>41</v>
          </cell>
          <cell r="B44" t="str">
            <v>冷凍式乾燥器水冷卻器清洗</v>
          </cell>
          <cell r="C44" t="str">
            <v>台</v>
          </cell>
          <cell r="D44">
            <v>12212</v>
          </cell>
          <cell r="E44">
            <v>1</v>
          </cell>
        </row>
        <row r="45">
          <cell r="A45">
            <v>42</v>
          </cell>
          <cell r="B45" t="str">
            <v>冷凍式乾燥器冷媒R407C補充</v>
          </cell>
          <cell r="C45" t="str">
            <v>台</v>
          </cell>
          <cell r="D45">
            <v>35007</v>
          </cell>
          <cell r="E45">
            <v>1</v>
          </cell>
        </row>
        <row r="46">
          <cell r="A46">
            <v>43</v>
          </cell>
          <cell r="B46" t="str">
            <v>冷凍式乾燥器冷媒管路洩漏修補(含查漏)</v>
          </cell>
          <cell r="C46" t="str">
            <v>台</v>
          </cell>
          <cell r="D46">
            <v>52819</v>
          </cell>
          <cell r="E46">
            <v>2</v>
          </cell>
        </row>
        <row r="47">
          <cell r="A47">
            <v>44</v>
          </cell>
          <cell r="B47" t="str">
            <v>冷凍式乾燥器壓縮機更換</v>
          </cell>
          <cell r="C47" t="str">
            <v>台</v>
          </cell>
          <cell r="D47">
            <v>288469</v>
          </cell>
          <cell r="E47">
            <v>1</v>
          </cell>
        </row>
        <row r="48">
          <cell r="A48">
            <v>45</v>
          </cell>
          <cell r="B48" t="str">
            <v>冷凍式乾燥器膨脹閥更換</v>
          </cell>
          <cell r="C48" t="str">
            <v>台</v>
          </cell>
          <cell r="D48">
            <v>52819</v>
          </cell>
          <cell r="E48">
            <v>1</v>
          </cell>
        </row>
        <row r="49">
          <cell r="A49">
            <v>46</v>
          </cell>
          <cell r="B49" t="str">
            <v>各式自動排水器本體清潔</v>
          </cell>
          <cell r="C49" t="str">
            <v>組</v>
          </cell>
          <cell r="D49">
            <v>830</v>
          </cell>
          <cell r="E49">
            <v>40</v>
          </cell>
        </row>
        <row r="50">
          <cell r="A50">
            <v>47</v>
          </cell>
          <cell r="B50" t="str">
            <v>各式自動排水器更換</v>
          </cell>
          <cell r="C50" t="str">
            <v>組</v>
          </cell>
          <cell r="D50">
            <v>3664</v>
          </cell>
          <cell r="E50">
            <v>5</v>
          </cell>
        </row>
        <row r="51">
          <cell r="A51">
            <v>48</v>
          </cell>
          <cell r="B51" t="str">
            <v>空壓機法蘭襯墊洩漏檢修</v>
          </cell>
          <cell r="C51" t="str">
            <v>台</v>
          </cell>
          <cell r="D51">
            <v>3351</v>
          </cell>
          <cell r="E51">
            <v>5</v>
          </cell>
        </row>
        <row r="52">
          <cell r="A52">
            <v>49</v>
          </cell>
          <cell r="B52" t="str">
            <v>負壓風機保養</v>
          </cell>
          <cell r="C52" t="str">
            <v>台</v>
          </cell>
          <cell r="D52">
            <v>20627</v>
          </cell>
          <cell r="E52">
            <v>6</v>
          </cell>
        </row>
        <row r="53">
          <cell r="A53">
            <v>50</v>
          </cell>
          <cell r="B53" t="str">
            <v>負壓風機維修包套件更換</v>
          </cell>
          <cell r="C53" t="str">
            <v>台</v>
          </cell>
          <cell r="D53">
            <v>260527</v>
          </cell>
          <cell r="E53">
            <v>1</v>
          </cell>
        </row>
        <row r="54">
          <cell r="A54">
            <v>51</v>
          </cell>
          <cell r="B54" t="str">
            <v>負壓風機進口閥/真空破壞閥汽缸檢修</v>
          </cell>
          <cell r="C54" t="str">
            <v>只</v>
          </cell>
          <cell r="D54">
            <v>8963</v>
          </cell>
          <cell r="E54">
            <v>3</v>
          </cell>
        </row>
        <row r="55">
          <cell r="A55">
            <v>52</v>
          </cell>
          <cell r="B55" t="str">
            <v>負壓風機主機更換</v>
          </cell>
          <cell r="C55" t="str">
            <v>台</v>
          </cell>
          <cell r="D55">
            <v>43994</v>
          </cell>
          <cell r="E55">
            <v>1</v>
          </cell>
        </row>
        <row r="56">
          <cell r="A56">
            <v>53</v>
          </cell>
          <cell r="B56" t="str">
            <v>負壓風機油封更換</v>
          </cell>
          <cell r="C56" t="str">
            <v>台</v>
          </cell>
          <cell r="D56">
            <v>18458</v>
          </cell>
          <cell r="E56">
            <v>2</v>
          </cell>
        </row>
        <row r="57">
          <cell r="A57">
            <v>54</v>
          </cell>
          <cell r="B57" t="str">
            <v>PRS灰斗流化風機保養</v>
          </cell>
          <cell r="C57" t="str">
            <v>台</v>
          </cell>
          <cell r="D57">
            <v>28878</v>
          </cell>
          <cell r="E57">
            <v>2</v>
          </cell>
        </row>
        <row r="58">
          <cell r="A58">
            <v>55</v>
          </cell>
          <cell r="B58" t="str">
            <v>飛灰倉流化風機保養</v>
          </cell>
          <cell r="C58" t="str">
            <v>台</v>
          </cell>
          <cell r="D58">
            <v>37129</v>
          </cell>
          <cell r="E58">
            <v>3</v>
          </cell>
        </row>
        <row r="59">
          <cell r="A59">
            <v>56</v>
          </cell>
          <cell r="B59" t="str">
            <v>PRS灰斗流化風機維修包套件更換</v>
          </cell>
          <cell r="C59" t="str">
            <v>台</v>
          </cell>
          <cell r="D59">
            <v>114777</v>
          </cell>
          <cell r="E59">
            <v>1</v>
          </cell>
        </row>
        <row r="60">
          <cell r="A60">
            <v>57</v>
          </cell>
          <cell r="B60" t="str">
            <v>PRS灰斗流化風機轉子/齒輪組更換</v>
          </cell>
          <cell r="C60" t="str">
            <v>台</v>
          </cell>
          <cell r="D60">
            <v>114795</v>
          </cell>
          <cell r="E60">
            <v>1</v>
          </cell>
        </row>
        <row r="61">
          <cell r="A61">
            <v>58</v>
          </cell>
          <cell r="B61" t="str">
            <v>飛灰倉流化風機維修包套件更換</v>
          </cell>
          <cell r="C61" t="str">
            <v>台</v>
          </cell>
          <cell r="D61">
            <v>144104</v>
          </cell>
          <cell r="E61">
            <v>1</v>
          </cell>
        </row>
        <row r="62">
          <cell r="A62">
            <v>59</v>
          </cell>
          <cell r="B62" t="str">
            <v>飛灰倉流化風機轉子/齒輪組更換</v>
          </cell>
          <cell r="C62" t="str">
            <v>台</v>
          </cell>
          <cell r="D62">
            <v>119679</v>
          </cell>
          <cell r="E62">
            <v>1</v>
          </cell>
        </row>
        <row r="63">
          <cell r="A63">
            <v>60</v>
          </cell>
          <cell r="B63" t="str">
            <v>PRS/飛灰倉流化風機止回閥更換</v>
          </cell>
          <cell r="C63" t="str">
            <v>台</v>
          </cell>
          <cell r="D63">
            <v>6514</v>
          </cell>
          <cell r="E63">
            <v>5</v>
          </cell>
        </row>
        <row r="64">
          <cell r="A64">
            <v>61</v>
          </cell>
          <cell r="B64" t="str">
            <v>PRS/飛灰倉流化風機皮帶輪組更換</v>
          </cell>
          <cell r="C64" t="str">
            <v>台</v>
          </cell>
          <cell r="D64">
            <v>10374</v>
          </cell>
          <cell r="E64">
            <v>2</v>
          </cell>
        </row>
        <row r="65">
          <cell r="A65">
            <v>62</v>
          </cell>
          <cell r="B65" t="str">
            <v>各式風機拆解檢修</v>
          </cell>
          <cell r="C65" t="str">
            <v>台</v>
          </cell>
          <cell r="D65">
            <v>31539</v>
          </cell>
          <cell r="E65">
            <v>5</v>
          </cell>
        </row>
        <row r="66">
          <cell r="A66">
            <v>63</v>
          </cell>
          <cell r="B66" t="str">
            <v>各式風機進出口風門及逆止閥檢修</v>
          </cell>
          <cell r="C66" t="str">
            <v>只</v>
          </cell>
          <cell r="D66">
            <v>10990</v>
          </cell>
          <cell r="E66">
            <v>4</v>
          </cell>
        </row>
        <row r="67">
          <cell r="A67">
            <v>64</v>
          </cell>
          <cell r="B67" t="str">
            <v>飛灰倉頂抽氣扇出口閘刀閥檢修</v>
          </cell>
          <cell r="C67" t="str">
            <v>只</v>
          </cell>
          <cell r="D67">
            <v>20750</v>
          </cell>
          <cell r="E67">
            <v>1</v>
          </cell>
        </row>
        <row r="68">
          <cell r="A68">
            <v>65</v>
          </cell>
          <cell r="B68" t="str">
            <v>各式風機葉輪動平衡</v>
          </cell>
          <cell r="C68" t="str">
            <v>TIM</v>
          </cell>
          <cell r="D68">
            <v>6514</v>
          </cell>
          <cell r="E68">
            <v>6</v>
          </cell>
        </row>
        <row r="69">
          <cell r="A69">
            <v>66</v>
          </cell>
          <cell r="B69" t="str">
            <v>各式風機葉輪線上動平衡</v>
          </cell>
          <cell r="C69" t="str">
            <v>TIM</v>
          </cell>
          <cell r="D69">
            <v>29052</v>
          </cell>
          <cell r="E69">
            <v>3</v>
          </cell>
        </row>
        <row r="70">
          <cell r="A70">
            <v>67</v>
          </cell>
          <cell r="B70" t="str">
            <v>各式泵類拆解檢修</v>
          </cell>
          <cell r="C70" t="str">
            <v>台</v>
          </cell>
          <cell r="D70">
            <v>29465</v>
          </cell>
          <cell r="E70">
            <v>6</v>
          </cell>
        </row>
        <row r="71">
          <cell r="A71">
            <v>68</v>
          </cell>
          <cell r="B71" t="str">
            <v>各式泵類馬達基座整修</v>
          </cell>
          <cell r="C71" t="str">
            <v>台</v>
          </cell>
          <cell r="D71">
            <v>23654</v>
          </cell>
          <cell r="E71">
            <v>2</v>
          </cell>
        </row>
        <row r="72">
          <cell r="A72">
            <v>69</v>
          </cell>
          <cell r="B72" t="str">
            <v>飛灰/底灰海水泵之進/出口閥管路墊圈更換</v>
          </cell>
          <cell r="C72" t="str">
            <v>只</v>
          </cell>
          <cell r="D72">
            <v>7221</v>
          </cell>
          <cell r="E72">
            <v>5</v>
          </cell>
        </row>
        <row r="73">
          <cell r="A73">
            <v>70</v>
          </cell>
          <cell r="B73" t="str">
            <v>飛灰/底灰海水泵之膨漲接頭更換</v>
          </cell>
          <cell r="C73" t="str">
            <v>只</v>
          </cell>
          <cell r="D73">
            <v>18677</v>
          </cell>
          <cell r="E73">
            <v>2</v>
          </cell>
        </row>
        <row r="74">
          <cell r="A74">
            <v>71</v>
          </cell>
          <cell r="B74" t="str">
            <v>泥漿泵拆解檢修(含軸承拆解)</v>
          </cell>
          <cell r="C74" t="str">
            <v>台</v>
          </cell>
          <cell r="D74">
            <v>43591</v>
          </cell>
          <cell r="E74">
            <v>3</v>
          </cell>
        </row>
        <row r="75">
          <cell r="A75">
            <v>72</v>
          </cell>
          <cell r="B75" t="str">
            <v>泥漿泵皮帶更換</v>
          </cell>
          <cell r="C75" t="str">
            <v>台</v>
          </cell>
          <cell r="D75">
            <v>9856</v>
          </cell>
          <cell r="E75">
            <v>3</v>
          </cell>
        </row>
        <row r="76">
          <cell r="A76">
            <v>73</v>
          </cell>
          <cell r="B76" t="str">
            <v>泥漿泵皮帶調整</v>
          </cell>
          <cell r="C76" t="str">
            <v>台</v>
          </cell>
          <cell r="D76">
            <v>4321</v>
          </cell>
          <cell r="E76">
            <v>3</v>
          </cell>
        </row>
        <row r="77">
          <cell r="A77">
            <v>74</v>
          </cell>
          <cell r="B77" t="str">
            <v>泥漿泵皮帶輪組更換</v>
          </cell>
          <cell r="C77" t="str">
            <v>台</v>
          </cell>
          <cell r="D77">
            <v>19467</v>
          </cell>
          <cell r="E77">
            <v>3</v>
          </cell>
        </row>
        <row r="78">
          <cell r="A78">
            <v>75</v>
          </cell>
          <cell r="B78" t="str">
            <v>泥漿泵馬達基座整修</v>
          </cell>
          <cell r="C78" t="str">
            <v>台</v>
          </cell>
          <cell r="D78">
            <v>25463</v>
          </cell>
          <cell r="E78">
            <v>1</v>
          </cell>
        </row>
        <row r="79">
          <cell r="A79">
            <v>76</v>
          </cell>
          <cell r="B79" t="str">
            <v>泥漿泵泵殼內部機件更換</v>
          </cell>
          <cell r="C79" t="str">
            <v>台</v>
          </cell>
          <cell r="D79">
            <v>38194</v>
          </cell>
          <cell r="E79">
            <v>6</v>
          </cell>
        </row>
        <row r="80">
          <cell r="A80">
            <v>77</v>
          </cell>
          <cell r="B80" t="str">
            <v>泥漿泵機械軸封檢修</v>
          </cell>
          <cell r="C80" t="str">
            <v>台</v>
          </cell>
          <cell r="D80">
            <v>6849</v>
          </cell>
          <cell r="E80">
            <v>2</v>
          </cell>
        </row>
        <row r="81">
          <cell r="A81">
            <v>78</v>
          </cell>
          <cell r="B81" t="str">
            <v>泥漿泵機械軸封水封水金屬軟管更換</v>
          </cell>
          <cell r="C81" t="str">
            <v>台</v>
          </cell>
          <cell r="D81">
            <v>4190</v>
          </cell>
          <cell r="E81">
            <v>2</v>
          </cell>
        </row>
        <row r="82">
          <cell r="A82">
            <v>79</v>
          </cell>
          <cell r="B82" t="str">
            <v>泥漿泵出口壓力表管路清通</v>
          </cell>
          <cell r="C82" t="str">
            <v>只</v>
          </cell>
          <cell r="D82">
            <v>3450</v>
          </cell>
          <cell r="E82">
            <v>3</v>
          </cell>
        </row>
        <row r="83">
          <cell r="A83">
            <v>80</v>
          </cell>
          <cell r="B83" t="str">
            <v>泥漿泵(泵殼組/軸承箱)整體更換</v>
          </cell>
          <cell r="C83" t="str">
            <v>台</v>
          </cell>
          <cell r="D83">
            <v>40630</v>
          </cell>
          <cell r="E83">
            <v>2</v>
          </cell>
        </row>
        <row r="84">
          <cell r="A84">
            <v>81</v>
          </cell>
          <cell r="B84" t="str">
            <v>泥漿泵備用台整修與零組件組裝</v>
          </cell>
          <cell r="C84" t="str">
            <v>台</v>
          </cell>
          <cell r="D84">
            <v>32856</v>
          </cell>
          <cell r="E84">
            <v>2</v>
          </cell>
        </row>
        <row r="85">
          <cell r="A85">
            <v>82</v>
          </cell>
          <cell r="B85" t="str">
            <v>泥漿泵房清潔</v>
          </cell>
          <cell r="C85" t="str">
            <v>TIM</v>
          </cell>
          <cell r="D85">
            <v>10078</v>
          </cell>
          <cell r="E85">
            <v>2</v>
          </cell>
        </row>
        <row r="86">
          <cell r="A86">
            <v>83</v>
          </cell>
          <cell r="B86" t="str">
            <v>泥漿泵進口FLUSH閥更換</v>
          </cell>
          <cell r="C86" t="str">
            <v>只</v>
          </cell>
          <cell r="D86">
            <v>23353</v>
          </cell>
          <cell r="E86">
            <v>3</v>
          </cell>
        </row>
        <row r="87">
          <cell r="A87">
            <v>84</v>
          </cell>
          <cell r="B87" t="str">
            <v>泥漿泵12”/18”閘刀閥更換</v>
          </cell>
          <cell r="C87" t="str">
            <v>只</v>
          </cell>
          <cell r="D87">
            <v>22472</v>
          </cell>
          <cell r="E87">
            <v>3</v>
          </cell>
        </row>
        <row r="88">
          <cell r="A88">
            <v>85</v>
          </cell>
          <cell r="B88" t="str">
            <v>泥漿泵12”/18”閘刀閥漏水格蘭鎖/放</v>
          </cell>
          <cell r="C88" t="str">
            <v>只</v>
          </cell>
          <cell r="D88">
            <v>3889</v>
          </cell>
          <cell r="E88">
            <v>5</v>
          </cell>
        </row>
        <row r="89">
          <cell r="A89">
            <v>86</v>
          </cell>
          <cell r="B89" t="str">
            <v>泥漿泵12”/18”閘刀閥備品整修組裝</v>
          </cell>
          <cell r="C89" t="str">
            <v>只</v>
          </cell>
          <cell r="D89">
            <v>24877</v>
          </cell>
          <cell r="E89">
            <v>3</v>
          </cell>
        </row>
        <row r="90">
          <cell r="A90">
            <v>87</v>
          </cell>
          <cell r="B90" t="str">
            <v>泥漿泵及閘刀閥保養</v>
          </cell>
          <cell r="C90" t="str">
            <v>TIM</v>
          </cell>
          <cell r="D90">
            <v>4996</v>
          </cell>
          <cell r="E90">
            <v>6</v>
          </cell>
        </row>
        <row r="91">
          <cell r="A91">
            <v>88</v>
          </cell>
          <cell r="B91" t="str">
            <v>出灰管/閥破洞焊補</v>
          </cell>
          <cell r="C91" t="str">
            <v>M2</v>
          </cell>
          <cell r="D91">
            <v>22157</v>
          </cell>
          <cell r="E91">
            <v>20</v>
          </cell>
        </row>
        <row r="92">
          <cell r="A92">
            <v>89</v>
          </cell>
          <cell r="B92" t="str">
            <v>抗耐磨陶瓷劑修補</v>
          </cell>
          <cell r="C92" t="str">
            <v>M2</v>
          </cell>
          <cell r="D92">
            <v>12320</v>
          </cell>
          <cell r="E92">
            <v>20</v>
          </cell>
        </row>
        <row r="93">
          <cell r="A93">
            <v>90</v>
          </cell>
          <cell r="B93" t="str">
            <v>泥漿泵出口鑄石三通管及入口大小頭更換</v>
          </cell>
          <cell r="C93" t="str">
            <v>只</v>
          </cell>
          <cell r="D93">
            <v>38890</v>
          </cell>
          <cell r="E93">
            <v>2</v>
          </cell>
        </row>
        <row r="94">
          <cell r="A94">
            <v>91</v>
          </cell>
          <cell r="B94" t="str">
            <v>14"x12"大小頭承商帶料</v>
          </cell>
          <cell r="C94" t="str">
            <v>EA</v>
          </cell>
          <cell r="D94">
            <v>102452</v>
          </cell>
          <cell r="E94">
            <v>2</v>
          </cell>
        </row>
        <row r="95">
          <cell r="A95">
            <v>92</v>
          </cell>
          <cell r="B95" t="str">
            <v>18"x12"三通承商帶料</v>
          </cell>
          <cell r="C95" t="str">
            <v>EA</v>
          </cell>
          <cell r="D95">
            <v>166935</v>
          </cell>
          <cell r="E95">
            <v>2</v>
          </cell>
        </row>
        <row r="96">
          <cell r="A96">
            <v>93</v>
          </cell>
          <cell r="B96" t="str">
            <v>12"x4"三通承商帶料</v>
          </cell>
          <cell r="C96" t="str">
            <v>EA</v>
          </cell>
          <cell r="D96">
            <v>55645</v>
          </cell>
          <cell r="E96">
            <v>2</v>
          </cell>
        </row>
        <row r="97">
          <cell r="A97">
            <v>94</v>
          </cell>
          <cell r="B97" t="str">
            <v>泥漿泵出口12吋逆止閥承商帶料</v>
          </cell>
          <cell r="C97" t="str">
            <v>EA</v>
          </cell>
          <cell r="D97">
            <v>223571</v>
          </cell>
          <cell r="E97">
            <v>1</v>
          </cell>
        </row>
        <row r="98">
          <cell r="A98">
            <v>95</v>
          </cell>
          <cell r="B98" t="str">
            <v>設備管路清通(ex.回收水桶槽液位計,乾燥機機洩水管路等)</v>
          </cell>
          <cell r="C98" t="str">
            <v>TIM</v>
          </cell>
          <cell r="D98">
            <v>1676</v>
          </cell>
          <cell r="E98">
            <v>10</v>
          </cell>
        </row>
        <row r="99">
          <cell r="A99">
            <v>96</v>
          </cell>
          <cell r="B99" t="str">
            <v>輸灰系統管/閥破洞焊補</v>
          </cell>
          <cell r="C99" t="str">
            <v>M2</v>
          </cell>
          <cell r="D99">
            <v>22390</v>
          </cell>
          <cell r="E99">
            <v>5</v>
          </cell>
        </row>
        <row r="100">
          <cell r="A100">
            <v>97</v>
          </cell>
          <cell r="B100" t="str">
            <v>各式泵進口濾網清潔</v>
          </cell>
          <cell r="C100" t="str">
            <v>台</v>
          </cell>
          <cell r="D100">
            <v>2905</v>
          </cell>
          <cell r="E100">
            <v>16</v>
          </cell>
        </row>
        <row r="101">
          <cell r="A101">
            <v>98</v>
          </cell>
          <cell r="B101" t="str">
            <v>各式泵轉子軸直度校正</v>
          </cell>
          <cell r="C101" t="str">
            <v>台</v>
          </cell>
          <cell r="D101">
            <v>10259</v>
          </cell>
          <cell r="E101">
            <v>2</v>
          </cell>
        </row>
        <row r="102">
          <cell r="A102">
            <v>99</v>
          </cell>
          <cell r="B102" t="str">
            <v>海水泵不銹鋼濾網籠製作</v>
          </cell>
          <cell r="C102" t="str">
            <v>台</v>
          </cell>
          <cell r="D102">
            <v>16502</v>
          </cell>
          <cell r="E102">
            <v>5</v>
          </cell>
        </row>
        <row r="103">
          <cell r="A103">
            <v>100</v>
          </cell>
          <cell r="B103" t="str">
            <v>設備零星雜項檢修工作</v>
          </cell>
          <cell r="C103" t="str">
            <v>M/D</v>
          </cell>
          <cell r="D103">
            <v>3071</v>
          </cell>
          <cell r="E103">
            <v>90</v>
          </cell>
        </row>
        <row r="104">
          <cell r="A104">
            <v>101</v>
          </cell>
          <cell r="B104" t="str">
            <v>迴轉機聯軸器拆解、回裝及對心</v>
          </cell>
          <cell r="C104" t="str">
            <v>台</v>
          </cell>
          <cell r="D104">
            <v>7469</v>
          </cell>
          <cell r="E104">
            <v>5</v>
          </cell>
        </row>
        <row r="105">
          <cell r="A105">
            <v>102</v>
          </cell>
          <cell r="B105" t="str">
            <v>管路及法蘭洩漏檢修</v>
          </cell>
          <cell r="C105" t="str">
            <v>口</v>
          </cell>
          <cell r="D105">
            <v>996</v>
          </cell>
          <cell r="E105">
            <v>100</v>
          </cell>
        </row>
        <row r="106">
          <cell r="A106">
            <v>103</v>
          </cell>
          <cell r="B106" t="str">
            <v>管路增設更換(勞務)</v>
          </cell>
          <cell r="C106" t="str">
            <v>M</v>
          </cell>
          <cell r="D106">
            <v>489</v>
          </cell>
          <cell r="E106">
            <v>300</v>
          </cell>
        </row>
        <row r="107">
          <cell r="A107">
            <v>104</v>
          </cell>
          <cell r="B107" t="str">
            <v>手動閥增設更換(勞務)</v>
          </cell>
          <cell r="C107" t="str">
            <v>只</v>
          </cell>
          <cell r="D107">
            <v>489</v>
          </cell>
          <cell r="E107">
            <v>100</v>
          </cell>
        </row>
        <row r="108">
          <cell r="A108">
            <v>105</v>
          </cell>
          <cell r="B108" t="str">
            <v>氣動/電動閥增設更換(勞務)</v>
          </cell>
          <cell r="C108" t="str">
            <v>只</v>
          </cell>
          <cell r="D108">
            <v>4152</v>
          </cell>
          <cell r="E108">
            <v>50</v>
          </cell>
        </row>
        <row r="109">
          <cell r="A109">
            <v>106</v>
          </cell>
          <cell r="B109" t="str">
            <v>氣動/電動閥之汽缸或馬達驅動器更換(勞務)</v>
          </cell>
          <cell r="C109" t="str">
            <v>只</v>
          </cell>
          <cell r="D109">
            <v>4152</v>
          </cell>
          <cell r="E109">
            <v>50</v>
          </cell>
        </row>
        <row r="110">
          <cell r="A110">
            <v>107</v>
          </cell>
          <cell r="B110" t="str">
            <v>氣動閥汽缸維修</v>
          </cell>
          <cell r="C110" t="str">
            <v>只</v>
          </cell>
          <cell r="D110">
            <v>4479</v>
          </cell>
          <cell r="E110">
            <v>8</v>
          </cell>
        </row>
        <row r="111">
          <cell r="A111">
            <v>108</v>
          </cell>
          <cell r="B111" t="str">
            <v>箱體除鏽油漆</v>
          </cell>
          <cell r="C111" t="str">
            <v>M2</v>
          </cell>
          <cell r="D111">
            <v>1465</v>
          </cell>
          <cell r="E111">
            <v>20</v>
          </cell>
        </row>
        <row r="112">
          <cell r="A112">
            <v>109</v>
          </cell>
          <cell r="B112" t="str">
            <v>2吋(含)以下管路油漆</v>
          </cell>
          <cell r="C112" t="str">
            <v>M</v>
          </cell>
          <cell r="D112">
            <v>586</v>
          </cell>
          <cell r="E112">
            <v>100</v>
          </cell>
        </row>
        <row r="113">
          <cell r="A113">
            <v>110</v>
          </cell>
          <cell r="B113" t="str">
            <v>2吋(不含)以上管路油漆</v>
          </cell>
          <cell r="C113" t="str">
            <v>M</v>
          </cell>
          <cell r="D113">
            <v>651</v>
          </cell>
          <cell r="E113">
            <v>100</v>
          </cell>
        </row>
        <row r="114">
          <cell r="A114">
            <v>111</v>
          </cell>
          <cell r="B114" t="str">
            <v>施工架搭拆(高度&lt;7米)</v>
          </cell>
          <cell r="C114" t="str">
            <v>M3</v>
          </cell>
          <cell r="D114">
            <v>419</v>
          </cell>
          <cell r="E114">
            <v>300</v>
          </cell>
        </row>
        <row r="115">
          <cell r="A115">
            <v>112</v>
          </cell>
          <cell r="B115" t="str">
            <v>施工架搭拆(高度&gt;=7米)</v>
          </cell>
          <cell r="C115" t="str">
            <v>M3</v>
          </cell>
          <cell r="D115">
            <v>585</v>
          </cell>
          <cell r="E115">
            <v>300</v>
          </cell>
        </row>
        <row r="116">
          <cell r="A116">
            <v>113</v>
          </cell>
          <cell r="B116" t="str">
            <v>迴轉機及週邊環境清潔工作</v>
          </cell>
          <cell r="C116" t="str">
            <v>TIM</v>
          </cell>
          <cell r="D116">
            <v>2240</v>
          </cell>
          <cell r="E116">
            <v>10</v>
          </cell>
        </row>
        <row r="117">
          <cell r="A117">
            <v>114</v>
          </cell>
          <cell r="B117" t="str">
            <v>吊桿式載重貨車起重作業</v>
          </cell>
          <cell r="C117" t="str">
            <v>HR</v>
          </cell>
          <cell r="D117">
            <v>1676</v>
          </cell>
          <cell r="E117">
            <v>20</v>
          </cell>
        </row>
        <row r="118">
          <cell r="A118">
            <v>115</v>
          </cell>
          <cell r="B118" t="str">
            <v>45公噸移動式起重機作業</v>
          </cell>
          <cell r="C118" t="str">
            <v>HR</v>
          </cell>
          <cell r="D118">
            <v>2096</v>
          </cell>
          <cell r="E118">
            <v>20</v>
          </cell>
        </row>
        <row r="119">
          <cell r="A119">
            <v>116</v>
          </cell>
          <cell r="B119" t="str">
            <v>雜項焊接工作</v>
          </cell>
          <cell r="C119" t="str">
            <v>口</v>
          </cell>
          <cell r="D119">
            <v>757</v>
          </cell>
          <cell r="E119">
            <v>40</v>
          </cell>
        </row>
        <row r="120">
          <cell r="A120">
            <v>117</v>
          </cell>
          <cell r="B120" t="str">
            <v>非破壞檢測</v>
          </cell>
          <cell r="C120" t="str">
            <v>TIM</v>
          </cell>
          <cell r="D120">
            <v>8956</v>
          </cell>
          <cell r="E120">
            <v>1</v>
          </cell>
        </row>
        <row r="121">
          <cell r="A121">
            <v>118</v>
          </cell>
          <cell r="B121" t="str">
            <v>堆高機作業</v>
          </cell>
          <cell r="C121" t="str">
            <v>HR</v>
          </cell>
          <cell r="D121">
            <v>742</v>
          </cell>
          <cell r="E121">
            <v>15</v>
          </cell>
        </row>
        <row r="122">
          <cell r="A122">
            <v>119</v>
          </cell>
          <cell r="B122" t="str">
            <v>真空吸引車作業</v>
          </cell>
          <cell r="C122" t="str">
            <v>HR</v>
          </cell>
          <cell r="D122">
            <v>6475</v>
          </cell>
          <cell r="E122">
            <v>10</v>
          </cell>
        </row>
        <row r="123">
          <cell r="A123">
            <v>120</v>
          </cell>
          <cell r="B123" t="str">
            <v>高空作業車</v>
          </cell>
          <cell r="C123" t="str">
            <v>HR</v>
          </cell>
          <cell r="D123">
            <v>1909</v>
          </cell>
          <cell r="E123">
            <v>10</v>
          </cell>
        </row>
        <row r="124">
          <cell r="A124">
            <v>121</v>
          </cell>
          <cell r="B124" t="str">
            <v>施工平台 - 走道或平台框架製作安裝</v>
          </cell>
          <cell r="C124" t="str">
            <v>M2</v>
          </cell>
          <cell r="D124">
            <v>7719</v>
          </cell>
          <cell r="E124">
            <v>14</v>
          </cell>
        </row>
        <row r="125">
          <cell r="A125">
            <v>122</v>
          </cell>
          <cell r="B125" t="str">
            <v>施工平台 - 走道或平台樓梯踏板製作安裝</v>
          </cell>
          <cell r="C125" t="str">
            <v>塊</v>
          </cell>
          <cell r="D125">
            <v>7719</v>
          </cell>
          <cell r="E125">
            <v>14</v>
          </cell>
        </row>
        <row r="126">
          <cell r="A126">
            <v>123</v>
          </cell>
          <cell r="B126" t="str">
            <v>施工平台 - 爬梯護欄製作安裝</v>
          </cell>
          <cell r="C126" t="str">
            <v>M</v>
          </cell>
          <cell r="D126">
            <v>19505</v>
          </cell>
          <cell r="E126">
            <v>14</v>
          </cell>
        </row>
        <row r="127">
          <cell r="A127">
            <v>124</v>
          </cell>
          <cell r="B127" t="str">
            <v>施工平台 - 走道或平台踏板製作安裝</v>
          </cell>
          <cell r="C127" t="str">
            <v>M2</v>
          </cell>
          <cell r="D127">
            <v>7719</v>
          </cell>
          <cell r="E127">
            <v>14</v>
          </cell>
        </row>
        <row r="128">
          <cell r="A128">
            <v>125</v>
          </cell>
          <cell r="B128" t="str">
            <v>施工平台 - 走道或平台欄杆製作安裝</v>
          </cell>
          <cell r="C128" t="str">
            <v>M</v>
          </cell>
          <cell r="D128">
            <v>11454</v>
          </cell>
          <cell r="E128">
            <v>14</v>
          </cell>
        </row>
        <row r="129">
          <cell r="A129">
            <v>126</v>
          </cell>
          <cell r="B129" t="str">
            <v>管路承商帶料</v>
          </cell>
          <cell r="C129" t="str">
            <v>M</v>
          </cell>
          <cell r="D129">
            <v>648</v>
          </cell>
          <cell r="E129">
            <v>800</v>
          </cell>
        </row>
        <row r="130">
          <cell r="A130">
            <v>127</v>
          </cell>
          <cell r="B130" t="str">
            <v>手動閥/逆止閥承商帶料</v>
          </cell>
          <cell r="C130" t="str">
            <v>只</v>
          </cell>
          <cell r="D130">
            <v>3256</v>
          </cell>
          <cell r="E130">
            <v>100</v>
          </cell>
        </row>
        <row r="131">
          <cell r="A131">
            <v>128</v>
          </cell>
          <cell r="B131" t="str">
            <v>泥漿泵皮帶承商帶料</v>
          </cell>
          <cell r="C131" t="str">
            <v>組</v>
          </cell>
          <cell r="D131">
            <v>12499</v>
          </cell>
          <cell r="E131">
            <v>6</v>
          </cell>
        </row>
        <row r="132">
          <cell r="A132">
            <v>129</v>
          </cell>
          <cell r="B132" t="str">
            <v>PRS氣封扇葉輪承商帶料</v>
          </cell>
          <cell r="C132" t="str">
            <v>只</v>
          </cell>
          <cell r="D132">
            <v>143724</v>
          </cell>
          <cell r="E132">
            <v>3</v>
          </cell>
        </row>
        <row r="133">
          <cell r="A133">
            <v>130</v>
          </cell>
          <cell r="B133" t="str">
            <v>泥漿泵機械軸封承商帶料</v>
          </cell>
          <cell r="C133" t="str">
            <v>組</v>
          </cell>
          <cell r="D133">
            <v>162312</v>
          </cell>
          <cell r="E133">
            <v>2</v>
          </cell>
        </row>
        <row r="134">
          <cell r="A134">
            <v>131</v>
          </cell>
          <cell r="B134" t="str">
            <v>底灰/飛灰海水泵機械軸封承商帶料</v>
          </cell>
          <cell r="C134" t="str">
            <v>組</v>
          </cell>
          <cell r="D134">
            <v>32566</v>
          </cell>
          <cell r="E134">
            <v>1</v>
          </cell>
        </row>
        <row r="135">
          <cell r="A135">
            <v>132</v>
          </cell>
          <cell r="B135" t="str">
            <v>電子洩水器承商帶料</v>
          </cell>
          <cell r="C135" t="str">
            <v>組</v>
          </cell>
          <cell r="D135">
            <v>16502</v>
          </cell>
          <cell r="E135">
            <v>6</v>
          </cell>
        </row>
        <row r="136">
          <cell r="A136">
            <v>133</v>
          </cell>
          <cell r="B136" t="str">
            <v>EP2潤滑油脂承商帶料</v>
          </cell>
          <cell r="C136" t="str">
            <v>KG</v>
          </cell>
          <cell r="D136">
            <v>3319</v>
          </cell>
          <cell r="E136">
            <v>16</v>
          </cell>
        </row>
        <row r="137">
          <cell r="A137">
            <v>134</v>
          </cell>
          <cell r="B137" t="str">
            <v>PRS/飛灰倉流化風機皮帶輪組承商帶料</v>
          </cell>
          <cell r="C137" t="str">
            <v>組</v>
          </cell>
          <cell r="D137">
            <v>14656</v>
          </cell>
          <cell r="E137">
            <v>5</v>
          </cell>
        </row>
        <row r="138">
          <cell r="A138">
            <v>135</v>
          </cell>
          <cell r="B138" t="str">
            <v>職業安全衛生人員</v>
          </cell>
          <cell r="C138" t="str">
            <v>M/D</v>
          </cell>
          <cell r="D138">
            <v>3000</v>
          </cell>
          <cell r="E138">
            <v>300</v>
          </cell>
        </row>
        <row r="139">
          <cell r="A139">
            <v>136</v>
          </cell>
          <cell r="B139" t="str">
            <v>施工架組配作業主管</v>
          </cell>
          <cell r="C139" t="str">
            <v>M/D</v>
          </cell>
          <cell r="D139">
            <v>705</v>
          </cell>
          <cell r="E139">
            <v>90</v>
          </cell>
        </row>
        <row r="140">
          <cell r="A140">
            <v>137</v>
          </cell>
          <cell r="B140" t="str">
            <v>移動式即時影像監視系統(CCTV)費用</v>
          </cell>
          <cell r="C140" t="str">
            <v>組</v>
          </cell>
          <cell r="D140">
            <v>78383</v>
          </cell>
          <cell r="E140">
            <v>1</v>
          </cell>
        </row>
        <row r="141">
          <cell r="A141">
            <v>138</v>
          </cell>
          <cell r="B141" t="str">
            <v>安全帽(硬質)費用</v>
          </cell>
          <cell r="C141" t="str">
            <v>只</v>
          </cell>
          <cell r="D141">
            <v>248</v>
          </cell>
          <cell r="E141">
            <v>18</v>
          </cell>
        </row>
        <row r="142">
          <cell r="A142">
            <v>139</v>
          </cell>
          <cell r="B142" t="str">
            <v>防塵口罩(N95)費用</v>
          </cell>
          <cell r="C142" t="str">
            <v>只</v>
          </cell>
          <cell r="D142">
            <v>17</v>
          </cell>
          <cell r="E142">
            <v>100</v>
          </cell>
        </row>
        <row r="143">
          <cell r="A143">
            <v>140</v>
          </cell>
          <cell r="B143" t="str">
            <v>防毒面具</v>
          </cell>
          <cell r="C143" t="str">
            <v>只</v>
          </cell>
          <cell r="D143">
            <v>1238</v>
          </cell>
          <cell r="E143">
            <v>10</v>
          </cell>
        </row>
        <row r="144">
          <cell r="A144">
            <v>141</v>
          </cell>
          <cell r="B144" t="str">
            <v>安全鞋(短統)費用</v>
          </cell>
          <cell r="C144" t="str">
            <v>組</v>
          </cell>
          <cell r="D144">
            <v>579</v>
          </cell>
          <cell r="E144">
            <v>18</v>
          </cell>
        </row>
        <row r="145">
          <cell r="A145">
            <v>142</v>
          </cell>
          <cell r="B145" t="str">
            <v>耳塞費用</v>
          </cell>
          <cell r="C145" t="str">
            <v>組</v>
          </cell>
          <cell r="D145">
            <v>12</v>
          </cell>
          <cell r="E145">
            <v>60</v>
          </cell>
        </row>
        <row r="146">
          <cell r="A146">
            <v>143</v>
          </cell>
          <cell r="B146" t="str">
            <v>警示帶(200尺)費用</v>
          </cell>
          <cell r="C146" t="str">
            <v>組</v>
          </cell>
          <cell r="D146">
            <v>248</v>
          </cell>
          <cell r="E146">
            <v>3</v>
          </cell>
        </row>
        <row r="147">
          <cell r="A147">
            <v>144</v>
          </cell>
          <cell r="B147" t="str">
            <v>工作標示牌費用</v>
          </cell>
          <cell r="C147" t="str">
            <v>只</v>
          </cell>
          <cell r="D147">
            <v>2075</v>
          </cell>
          <cell r="E147">
            <v>2</v>
          </cell>
        </row>
        <row r="148">
          <cell r="A148">
            <v>145</v>
          </cell>
          <cell r="B148" t="str">
            <v>安全帶、索費用</v>
          </cell>
          <cell r="C148" t="str">
            <v>只</v>
          </cell>
          <cell r="D148">
            <v>4148</v>
          </cell>
          <cell r="E148">
            <v>6</v>
          </cell>
        </row>
        <row r="149">
          <cell r="A149">
            <v>146</v>
          </cell>
          <cell r="B149" t="str">
            <v>反光背心費用</v>
          </cell>
          <cell r="C149" t="str">
            <v>只</v>
          </cell>
          <cell r="D149">
            <v>166</v>
          </cell>
          <cell r="E149">
            <v>6</v>
          </cell>
        </row>
        <row r="150">
          <cell r="A150">
            <v>147</v>
          </cell>
          <cell r="B150" t="str">
            <v>工作手套費用</v>
          </cell>
          <cell r="C150" t="str">
            <v>組</v>
          </cell>
          <cell r="D150">
            <v>21</v>
          </cell>
          <cell r="E150">
            <v>60</v>
          </cell>
        </row>
        <row r="151">
          <cell r="A151">
            <v>148</v>
          </cell>
          <cell r="B151" t="str">
            <v>四用氣體測定儀費用</v>
          </cell>
          <cell r="C151" t="str">
            <v>組</v>
          </cell>
          <cell r="D151">
            <v>1245</v>
          </cell>
          <cell r="E151">
            <v>1</v>
          </cell>
        </row>
        <row r="152">
          <cell r="A152">
            <v>149</v>
          </cell>
          <cell r="B152" t="str">
            <v>漏電斷路器費用</v>
          </cell>
          <cell r="C152" t="str">
            <v>組</v>
          </cell>
          <cell r="D152">
            <v>166</v>
          </cell>
          <cell r="E152">
            <v>2</v>
          </cell>
        </row>
        <row r="153">
          <cell r="A153">
            <v>150</v>
          </cell>
          <cell r="B153" t="str">
            <v>防止電擊裝置費用</v>
          </cell>
          <cell r="C153" t="str">
            <v>組</v>
          </cell>
          <cell r="D153">
            <v>499</v>
          </cell>
          <cell r="E153">
            <v>1</v>
          </cell>
        </row>
        <row r="154">
          <cell r="A154">
            <v>151</v>
          </cell>
          <cell r="B154" t="str">
            <v>搭架結構計算書</v>
          </cell>
          <cell r="C154" t="str">
            <v>TIM</v>
          </cell>
          <cell r="D154">
            <v>12034</v>
          </cell>
          <cell r="E154">
            <v>8</v>
          </cell>
        </row>
        <row r="155">
          <cell r="A155">
            <v>152</v>
          </cell>
          <cell r="B155" t="str">
            <v>稅雜費(含管理費、利潤、保險費等費用)</v>
          </cell>
          <cell r="C155" t="str">
            <v>式</v>
          </cell>
          <cell r="D155">
            <v>711905</v>
          </cell>
          <cell r="E155">
            <v>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51448-F65A-4EA4-9CEC-0EF1FDC79515}">
  <dimension ref="A1:J42"/>
  <sheetViews>
    <sheetView tabSelected="1" topLeftCell="A11" workbookViewId="0">
      <selection activeCell="O28" sqref="O28"/>
    </sheetView>
  </sheetViews>
  <sheetFormatPr defaultRowHeight="17" x14ac:dyDescent="0.4"/>
  <cols>
    <col min="1" max="1" width="12.6328125" bestFit="1" customWidth="1"/>
    <col min="2" max="2" width="7.08984375" bestFit="1" customWidth="1"/>
    <col min="3" max="3" width="10.6328125" customWidth="1"/>
    <col min="4" max="4" width="6" bestFit="1" customWidth="1"/>
    <col min="5" max="6" width="10.36328125" bestFit="1" customWidth="1"/>
    <col min="7" max="7" width="15.08984375" bestFit="1" customWidth="1"/>
    <col min="9" max="9" width="10.36328125" bestFit="1" customWidth="1"/>
    <col min="10" max="10" width="11.453125" customWidth="1"/>
  </cols>
  <sheetData>
    <row r="1" spans="1:10" x14ac:dyDescent="0.4">
      <c r="A1" s="1" t="s">
        <v>0</v>
      </c>
      <c r="B1" s="2"/>
      <c r="C1" s="2"/>
      <c r="D1" s="3" t="s">
        <v>1</v>
      </c>
      <c r="E1" s="3"/>
      <c r="F1" s="3"/>
      <c r="G1" s="4" t="s">
        <v>59</v>
      </c>
      <c r="H1" s="4"/>
      <c r="I1" s="4"/>
      <c r="J1" s="4"/>
    </row>
    <row r="2" spans="1:10" x14ac:dyDescent="0.4">
      <c r="A2" s="1" t="s">
        <v>2</v>
      </c>
      <c r="B2" s="1"/>
      <c r="C2" s="1"/>
      <c r="D2" s="3"/>
      <c r="E2" s="3"/>
      <c r="F2" s="3"/>
      <c r="G2" s="1" t="s">
        <v>3</v>
      </c>
      <c r="H2" s="5"/>
      <c r="I2" s="5"/>
      <c r="J2" s="5"/>
    </row>
    <row r="3" spans="1:10" x14ac:dyDescent="0.4">
      <c r="A3" s="1" t="s">
        <v>4</v>
      </c>
      <c r="B3" s="1"/>
      <c r="C3" s="1"/>
      <c r="D3" s="1"/>
      <c r="E3" s="1"/>
      <c r="F3" s="1"/>
      <c r="G3" s="4" t="s">
        <v>60</v>
      </c>
      <c r="H3" s="4"/>
      <c r="I3" s="4"/>
      <c r="J3" s="4"/>
    </row>
    <row r="4" spans="1:10" x14ac:dyDescent="0.4">
      <c r="A4" s="6" t="s">
        <v>5</v>
      </c>
      <c r="B4" s="7"/>
      <c r="C4" s="8"/>
      <c r="D4" s="8"/>
      <c r="E4" s="8"/>
      <c r="F4" s="9"/>
      <c r="G4" s="10" t="s">
        <v>6</v>
      </c>
      <c r="H4" s="10"/>
      <c r="I4" s="11" t="s">
        <v>7</v>
      </c>
      <c r="J4" s="11"/>
    </row>
    <row r="5" spans="1:10" x14ac:dyDescent="0.4">
      <c r="A5" s="12" t="s">
        <v>8</v>
      </c>
      <c r="B5" s="13"/>
      <c r="C5" s="14" t="s">
        <v>9</v>
      </c>
      <c r="D5" s="15"/>
      <c r="E5" s="16" t="s">
        <v>10</v>
      </c>
      <c r="F5" s="17" t="s">
        <v>11</v>
      </c>
      <c r="G5" s="18" t="s">
        <v>12</v>
      </c>
      <c r="H5" s="19"/>
      <c r="I5" s="17" t="s">
        <v>13</v>
      </c>
      <c r="J5" s="20"/>
    </row>
    <row r="6" spans="1:10" ht="29" x14ac:dyDescent="0.4">
      <c r="A6" s="21" t="s">
        <v>14</v>
      </c>
      <c r="B6" s="21"/>
      <c r="C6" s="22" t="s">
        <v>15</v>
      </c>
      <c r="D6" s="19"/>
      <c r="E6" s="23" t="s">
        <v>16</v>
      </c>
      <c r="F6" s="15"/>
      <c r="G6" s="18" t="s">
        <v>12</v>
      </c>
      <c r="H6" s="19"/>
      <c r="I6" s="17" t="s">
        <v>17</v>
      </c>
      <c r="J6" s="20"/>
    </row>
    <row r="7" spans="1:10" x14ac:dyDescent="0.4">
      <c r="A7" s="24" t="s">
        <v>18</v>
      </c>
      <c r="B7" s="25"/>
      <c r="C7" s="26"/>
      <c r="D7" s="27"/>
      <c r="E7" s="28" t="s">
        <v>19</v>
      </c>
      <c r="F7" s="29"/>
      <c r="G7" s="30" t="s">
        <v>20</v>
      </c>
      <c r="H7" s="27"/>
      <c r="I7" s="31" t="s">
        <v>61</v>
      </c>
      <c r="J7" s="32"/>
    </row>
    <row r="8" spans="1:10" x14ac:dyDescent="0.4">
      <c r="A8" s="33" t="s">
        <v>21</v>
      </c>
      <c r="B8" s="34"/>
      <c r="C8" s="35"/>
      <c r="D8" s="36"/>
      <c r="E8" s="33" t="s">
        <v>21</v>
      </c>
      <c r="F8" s="37"/>
      <c r="G8" s="34"/>
      <c r="H8" s="36"/>
      <c r="I8" s="31" t="s">
        <v>22</v>
      </c>
      <c r="J8" s="32"/>
    </row>
    <row r="9" spans="1:10" x14ac:dyDescent="0.4">
      <c r="A9" s="38" t="s">
        <v>23</v>
      </c>
      <c r="B9" s="39"/>
      <c r="C9" s="39"/>
      <c r="D9" s="39"/>
      <c r="E9" s="38"/>
      <c r="F9" s="39"/>
      <c r="G9" s="39"/>
      <c r="H9" s="39"/>
      <c r="I9" s="39"/>
      <c r="J9" s="39"/>
    </row>
    <row r="10" spans="1:10" ht="29" x14ac:dyDescent="0.4">
      <c r="A10" s="40" t="s">
        <v>24</v>
      </c>
      <c r="B10" s="41"/>
      <c r="C10" s="42"/>
      <c r="D10" s="43" t="s">
        <v>25</v>
      </c>
      <c r="E10" s="43" t="s">
        <v>26</v>
      </c>
      <c r="F10" s="43" t="s">
        <v>27</v>
      </c>
      <c r="G10" s="44" t="s">
        <v>28</v>
      </c>
      <c r="H10" s="45"/>
      <c r="I10" s="40" t="s">
        <v>29</v>
      </c>
      <c r="J10" s="42"/>
    </row>
    <row r="11" spans="1:10" x14ac:dyDescent="0.4">
      <c r="A11" s="46" t="str">
        <f t="shared" ref="A11:A17" si="0">IF(L11&lt;&gt;"",$M11&amp;" "&amp;$L11,"")</f>
        <v/>
      </c>
      <c r="B11" s="47"/>
      <c r="C11" s="48"/>
      <c r="D11" s="43" t="str">
        <f t="shared" ref="D11:D17" si="1">IF($N11="","",$N11)</f>
        <v/>
      </c>
      <c r="E11" s="43" t="str">
        <f>IF($M11&lt;&gt;"",VLOOKUP($M11,[1]請款明細!$A$4:$E$155,5,FALSE),"")</f>
        <v/>
      </c>
      <c r="F11" s="43" t="str">
        <f t="shared" ref="F11:F17" si="2">IF($A11="","",IF(O11="","施工中",$O11))</f>
        <v/>
      </c>
      <c r="G11" s="40"/>
      <c r="H11" s="42"/>
      <c r="I11" s="49"/>
      <c r="J11" s="50"/>
    </row>
    <row r="12" spans="1:10" x14ac:dyDescent="0.4">
      <c r="A12" s="46" t="str">
        <f t="shared" si="0"/>
        <v/>
      </c>
      <c r="B12" s="47"/>
      <c r="C12" s="48"/>
      <c r="D12" s="43" t="str">
        <f t="shared" si="1"/>
        <v/>
      </c>
      <c r="E12" s="43" t="str">
        <f>IF($D12&lt;&gt;"",VLOOKUP($M12,[1]請款明細!$A$4:$E$155,5,FALSE),"")</f>
        <v/>
      </c>
      <c r="F12" s="43" t="str">
        <f t="shared" si="2"/>
        <v/>
      </c>
      <c r="G12" s="40"/>
      <c r="H12" s="42"/>
      <c r="I12" s="49"/>
      <c r="J12" s="50"/>
    </row>
    <row r="13" spans="1:10" x14ac:dyDescent="0.4">
      <c r="A13" s="46" t="str">
        <f t="shared" si="0"/>
        <v/>
      </c>
      <c r="B13" s="47"/>
      <c r="C13" s="48"/>
      <c r="D13" s="43" t="str">
        <f t="shared" si="1"/>
        <v/>
      </c>
      <c r="E13" s="43" t="str">
        <f>IF($D13&lt;&gt;"",VLOOKUP($M13,[1]請款明細!$A$4:$E$155,5,FALSE),"")</f>
        <v/>
      </c>
      <c r="F13" s="43" t="str">
        <f t="shared" si="2"/>
        <v/>
      </c>
      <c r="G13" s="40"/>
      <c r="H13" s="42"/>
      <c r="I13" s="49"/>
      <c r="J13" s="50"/>
    </row>
    <row r="14" spans="1:10" x14ac:dyDescent="0.4">
      <c r="A14" s="46" t="str">
        <f t="shared" si="0"/>
        <v/>
      </c>
      <c r="B14" s="47"/>
      <c r="C14" s="48"/>
      <c r="D14" s="43" t="str">
        <f t="shared" si="1"/>
        <v/>
      </c>
      <c r="E14" s="43" t="str">
        <f>IF($D14&lt;&gt;"",VLOOKUP($M14,[1]請款明細!$A$4:$E$155,5,FALSE),"")</f>
        <v/>
      </c>
      <c r="F14" s="43" t="str">
        <f t="shared" si="2"/>
        <v/>
      </c>
      <c r="G14" s="40"/>
      <c r="H14" s="42"/>
      <c r="I14" s="49"/>
      <c r="J14" s="50"/>
    </row>
    <row r="15" spans="1:10" x14ac:dyDescent="0.4">
      <c r="A15" s="46" t="str">
        <f t="shared" si="0"/>
        <v/>
      </c>
      <c r="B15" s="47"/>
      <c r="C15" s="48"/>
      <c r="D15" s="43" t="str">
        <f t="shared" si="1"/>
        <v/>
      </c>
      <c r="E15" s="43" t="str">
        <f>IF($D15&lt;&gt;"",VLOOKUP($M15,[1]請款明細!$A$4:$E$155,5,FALSE),"")</f>
        <v/>
      </c>
      <c r="F15" s="43" t="str">
        <f t="shared" si="2"/>
        <v/>
      </c>
      <c r="G15" s="40"/>
      <c r="H15" s="42"/>
      <c r="I15" s="49"/>
      <c r="J15" s="50"/>
    </row>
    <row r="16" spans="1:10" x14ac:dyDescent="0.4">
      <c r="A16" s="46" t="str">
        <f t="shared" si="0"/>
        <v/>
      </c>
      <c r="B16" s="47"/>
      <c r="C16" s="48"/>
      <c r="D16" s="43" t="str">
        <f t="shared" si="1"/>
        <v/>
      </c>
      <c r="E16" s="43" t="str">
        <f>IF($D16&lt;&gt;"",VLOOKUP($M16,[1]請款明細!$A$4:$E$155,5,FALSE),"")</f>
        <v/>
      </c>
      <c r="F16" s="43" t="str">
        <f t="shared" si="2"/>
        <v/>
      </c>
      <c r="G16" s="40"/>
      <c r="H16" s="42"/>
      <c r="I16" s="49"/>
      <c r="J16" s="50"/>
    </row>
    <row r="17" spans="1:10" ht="17.5" thickBot="1" x14ac:dyDescent="0.45">
      <c r="A17" s="46" t="str">
        <f t="shared" si="0"/>
        <v/>
      </c>
      <c r="B17" s="47"/>
      <c r="C17" s="48"/>
      <c r="D17" s="43" t="str">
        <f t="shared" si="1"/>
        <v/>
      </c>
      <c r="E17" s="43" t="str">
        <f>IF($D17&lt;&gt;"",VLOOKUP($M17,[1]請款明細!$A$4:$E$155,5,FALSE),"")</f>
        <v/>
      </c>
      <c r="F17" s="43" t="str">
        <f t="shared" si="2"/>
        <v/>
      </c>
      <c r="G17" s="40"/>
      <c r="H17" s="42"/>
      <c r="I17" s="49"/>
      <c r="J17" s="50"/>
    </row>
    <row r="18" spans="1:10" x14ac:dyDescent="0.4">
      <c r="A18" s="51" t="s">
        <v>30</v>
      </c>
      <c r="B18" s="52"/>
      <c r="C18" s="52"/>
      <c r="D18" s="53" t="s">
        <v>31</v>
      </c>
      <c r="E18" s="53"/>
      <c r="F18" s="53"/>
      <c r="G18" s="54"/>
      <c r="H18" s="55"/>
      <c r="I18" s="54"/>
      <c r="J18" s="56"/>
    </row>
    <row r="19" spans="1:10" ht="17.5" thickBot="1" x14ac:dyDescent="0.45">
      <c r="A19" s="57"/>
      <c r="B19" s="58"/>
      <c r="C19" s="59"/>
      <c r="D19" s="60"/>
      <c r="E19" s="60"/>
      <c r="F19" s="60"/>
      <c r="G19" s="61"/>
      <c r="H19" s="59"/>
      <c r="I19" s="61"/>
      <c r="J19" s="62"/>
    </row>
    <row r="20" spans="1:10" x14ac:dyDescent="0.4">
      <c r="A20" s="63" t="s">
        <v>32</v>
      </c>
      <c r="B20" s="64"/>
      <c r="C20" s="64"/>
      <c r="D20" s="64"/>
      <c r="E20" s="64"/>
      <c r="F20" s="64"/>
      <c r="G20" s="64"/>
      <c r="H20" s="64"/>
      <c r="I20" s="64"/>
      <c r="J20" s="65"/>
    </row>
    <row r="21" spans="1:10" ht="29" x14ac:dyDescent="0.4">
      <c r="A21" s="66" t="s">
        <v>33</v>
      </c>
      <c r="B21" s="66"/>
      <c r="C21" s="66"/>
      <c r="D21" s="43" t="s">
        <v>25</v>
      </c>
      <c r="E21" s="43" t="s">
        <v>34</v>
      </c>
      <c r="F21" s="43" t="s">
        <v>35</v>
      </c>
      <c r="G21" s="40" t="s">
        <v>36</v>
      </c>
      <c r="H21" s="42"/>
      <c r="I21" s="66" t="s">
        <v>37</v>
      </c>
      <c r="J21" s="66"/>
    </row>
    <row r="22" spans="1:10" x14ac:dyDescent="0.4">
      <c r="A22" s="66"/>
      <c r="B22" s="66"/>
      <c r="C22" s="66"/>
      <c r="D22" s="67"/>
      <c r="E22" s="67"/>
      <c r="F22" s="67"/>
      <c r="G22" s="40"/>
      <c r="H22" s="42"/>
      <c r="I22" s="66"/>
      <c r="J22" s="66"/>
    </row>
    <row r="23" spans="1:10" x14ac:dyDescent="0.4">
      <c r="A23" s="66"/>
      <c r="B23" s="66"/>
      <c r="C23" s="66"/>
      <c r="D23" s="67"/>
      <c r="E23" s="67"/>
      <c r="F23" s="67"/>
      <c r="G23" s="40"/>
      <c r="H23" s="42"/>
      <c r="I23" s="66"/>
      <c r="J23" s="66"/>
    </row>
    <row r="24" spans="1:10" x14ac:dyDescent="0.4">
      <c r="A24" s="68" t="s">
        <v>38</v>
      </c>
      <c r="B24" s="69"/>
      <c r="C24" s="69"/>
      <c r="D24" s="69"/>
      <c r="E24" s="69"/>
      <c r="F24" s="69"/>
      <c r="G24" s="69"/>
      <c r="H24" s="69"/>
      <c r="I24" s="69"/>
      <c r="J24" s="70"/>
    </row>
    <row r="25" spans="1:10" ht="29" x14ac:dyDescent="0.4">
      <c r="A25" s="66" t="s">
        <v>39</v>
      </c>
      <c r="B25" s="66"/>
      <c r="C25" s="43" t="s">
        <v>40</v>
      </c>
      <c r="D25" s="66" t="s">
        <v>41</v>
      </c>
      <c r="E25" s="66"/>
      <c r="F25" s="43" t="s">
        <v>42</v>
      </c>
      <c r="G25" s="40" t="s">
        <v>35</v>
      </c>
      <c r="H25" s="41"/>
      <c r="I25" s="42"/>
      <c r="J25" s="43" t="s">
        <v>36</v>
      </c>
    </row>
    <row r="26" spans="1:10" x14ac:dyDescent="0.4">
      <c r="A26" s="66" t="s">
        <v>43</v>
      </c>
      <c r="B26" s="66"/>
      <c r="C26" s="43">
        <v>6</v>
      </c>
      <c r="D26" s="66"/>
      <c r="E26" s="66"/>
      <c r="F26" s="43"/>
      <c r="G26" s="40"/>
      <c r="H26" s="41"/>
      <c r="I26" s="42"/>
      <c r="J26" s="43"/>
    </row>
    <row r="27" spans="1:10" x14ac:dyDescent="0.4">
      <c r="A27" s="66" t="s">
        <v>44</v>
      </c>
      <c r="B27" s="66"/>
      <c r="C27" s="43">
        <v>1</v>
      </c>
      <c r="D27" s="66"/>
      <c r="E27" s="66"/>
      <c r="F27" s="43"/>
      <c r="G27" s="40"/>
      <c r="H27" s="41"/>
      <c r="I27" s="42"/>
      <c r="J27" s="43"/>
    </row>
    <row r="28" spans="1:10" ht="55" customHeight="1" x14ac:dyDescent="0.4">
      <c r="A28" s="71" t="s">
        <v>45</v>
      </c>
      <c r="B28" s="71"/>
      <c r="C28" s="71"/>
      <c r="D28" s="71"/>
      <c r="E28" s="71"/>
      <c r="F28" s="71"/>
      <c r="G28" s="71"/>
      <c r="H28" s="71"/>
      <c r="I28" s="71"/>
      <c r="J28" s="71"/>
    </row>
    <row r="29" spans="1:10" x14ac:dyDescent="0.4">
      <c r="A29" s="72" t="s">
        <v>46</v>
      </c>
      <c r="B29" s="72"/>
      <c r="C29" s="72"/>
      <c r="D29" s="72"/>
      <c r="E29" s="72"/>
      <c r="F29" s="72"/>
      <c r="G29" s="72"/>
      <c r="H29" s="72"/>
      <c r="I29" s="72"/>
      <c r="J29" s="72"/>
    </row>
    <row r="30" spans="1:10" x14ac:dyDescent="0.4">
      <c r="A30" s="72" t="s">
        <v>47</v>
      </c>
      <c r="B30" s="72"/>
      <c r="C30" s="72"/>
      <c r="D30" s="72"/>
      <c r="E30" s="72"/>
      <c r="F30" s="72"/>
      <c r="G30" s="72"/>
      <c r="H30" s="72"/>
      <c r="I30" s="72"/>
      <c r="J30" s="72"/>
    </row>
    <row r="31" spans="1:10" x14ac:dyDescent="0.4">
      <c r="A31" s="72" t="s">
        <v>48</v>
      </c>
      <c r="B31" s="72"/>
      <c r="C31" s="72"/>
      <c r="D31" s="72"/>
      <c r="E31" s="72"/>
      <c r="F31" s="72"/>
      <c r="G31" s="72"/>
      <c r="H31" s="72"/>
      <c r="I31" s="72"/>
      <c r="J31" s="72"/>
    </row>
    <row r="32" spans="1:10" x14ac:dyDescent="0.4">
      <c r="A32" s="73" t="s">
        <v>49</v>
      </c>
      <c r="B32" s="74"/>
      <c r="C32" s="74"/>
      <c r="D32" s="74"/>
      <c r="E32" s="74"/>
      <c r="F32" s="74"/>
      <c r="G32" s="74"/>
      <c r="H32" s="74"/>
      <c r="I32" s="74"/>
      <c r="J32" s="75"/>
    </row>
    <row r="33" spans="1:10" x14ac:dyDescent="0.4">
      <c r="A33" s="39" t="s">
        <v>50</v>
      </c>
      <c r="B33" s="39"/>
      <c r="C33" s="39"/>
      <c r="D33" s="39"/>
      <c r="E33" s="39"/>
      <c r="F33" s="39"/>
      <c r="G33" s="39"/>
      <c r="H33" s="39"/>
      <c r="I33" s="39"/>
      <c r="J33" s="39"/>
    </row>
    <row r="34" spans="1:10" x14ac:dyDescent="0.4">
      <c r="A34" s="39" t="s">
        <v>51</v>
      </c>
      <c r="B34" s="39"/>
      <c r="C34" s="39"/>
      <c r="D34" s="39"/>
      <c r="E34" s="39"/>
      <c r="F34" s="39"/>
      <c r="G34" s="39"/>
      <c r="H34" s="39"/>
      <c r="I34" s="39"/>
      <c r="J34" s="39"/>
    </row>
    <row r="35" spans="1:10" x14ac:dyDescent="0.4">
      <c r="A35" s="76" t="s">
        <v>52</v>
      </c>
      <c r="B35" s="76"/>
      <c r="C35" s="76"/>
      <c r="D35" s="76" t="s">
        <v>53</v>
      </c>
      <c r="E35" s="76"/>
      <c r="F35" s="76"/>
      <c r="G35" s="76" t="s">
        <v>54</v>
      </c>
      <c r="H35" s="76"/>
      <c r="I35" s="76"/>
      <c r="J35" s="76"/>
    </row>
    <row r="36" spans="1:10" x14ac:dyDescent="0.4">
      <c r="A36" s="76"/>
      <c r="B36" s="76"/>
      <c r="C36" s="76"/>
      <c r="D36" s="76"/>
      <c r="E36" s="76"/>
      <c r="F36" s="76"/>
      <c r="G36" s="76"/>
      <c r="H36" s="76"/>
      <c r="I36" s="76"/>
      <c r="J36" s="76"/>
    </row>
    <row r="37" spans="1:10" x14ac:dyDescent="0.4">
      <c r="A37" s="77" t="s">
        <v>55</v>
      </c>
      <c r="B37" s="77"/>
      <c r="C37" s="77"/>
      <c r="D37" s="77"/>
      <c r="E37" s="77"/>
      <c r="F37" s="77"/>
      <c r="G37" s="77"/>
      <c r="H37" s="77"/>
      <c r="I37" s="77"/>
      <c r="J37" s="77"/>
    </row>
    <row r="38" spans="1:10" x14ac:dyDescent="0.4">
      <c r="A38" s="77" t="s">
        <v>56</v>
      </c>
      <c r="B38" s="77"/>
      <c r="C38" s="77"/>
      <c r="D38" s="77"/>
      <c r="E38" s="77"/>
      <c r="F38" s="77"/>
      <c r="G38" s="77"/>
      <c r="H38" s="77"/>
      <c r="I38" s="77"/>
      <c r="J38" s="77"/>
    </row>
    <row r="39" spans="1:10" ht="55" customHeight="1" x14ac:dyDescent="0.4">
      <c r="A39" s="78" t="s">
        <v>62</v>
      </c>
      <c r="B39" s="78"/>
      <c r="C39" s="78"/>
      <c r="D39" s="78"/>
      <c r="E39" s="78"/>
      <c r="F39" s="78"/>
      <c r="G39" s="78"/>
      <c r="H39" s="78"/>
      <c r="I39" s="78"/>
      <c r="J39" s="78"/>
    </row>
    <row r="40" spans="1:10" x14ac:dyDescent="0.4">
      <c r="A40" s="77" t="s">
        <v>57</v>
      </c>
      <c r="B40" s="77"/>
      <c r="C40" s="77"/>
      <c r="D40" s="77"/>
      <c r="E40" s="77"/>
      <c r="F40" s="77"/>
      <c r="G40" s="77"/>
      <c r="H40" s="77"/>
      <c r="I40" s="77"/>
      <c r="J40" s="77"/>
    </row>
    <row r="41" spans="1:10" ht="46.5" customHeight="1" x14ac:dyDescent="0.4">
      <c r="A41" s="78" t="s">
        <v>63</v>
      </c>
      <c r="B41" s="78"/>
      <c r="C41" s="78"/>
      <c r="D41" s="78"/>
      <c r="E41" s="78"/>
      <c r="F41" s="78"/>
      <c r="G41" s="78"/>
      <c r="H41" s="78"/>
      <c r="I41" s="78"/>
      <c r="J41" s="78"/>
    </row>
    <row r="42" spans="1:10" x14ac:dyDescent="0.4">
      <c r="A42" s="77" t="s">
        <v>58</v>
      </c>
      <c r="B42" s="77"/>
      <c r="C42" s="77"/>
      <c r="D42" s="77"/>
      <c r="E42" s="77"/>
      <c r="F42" s="77"/>
      <c r="G42" s="77"/>
      <c r="H42" s="77"/>
      <c r="I42" s="77"/>
      <c r="J42" s="77"/>
    </row>
  </sheetData>
  <mergeCells count="85">
    <mergeCell ref="A39:J39"/>
    <mergeCell ref="A40:J40"/>
    <mergeCell ref="A41:J41"/>
    <mergeCell ref="A42:J42"/>
    <mergeCell ref="A34:J34"/>
    <mergeCell ref="A35:C36"/>
    <mergeCell ref="D35:F36"/>
    <mergeCell ref="G35:J36"/>
    <mergeCell ref="A37:J37"/>
    <mergeCell ref="A38:J38"/>
    <mergeCell ref="A28:J28"/>
    <mergeCell ref="A29:J29"/>
    <mergeCell ref="A30:J30"/>
    <mergeCell ref="A31:J31"/>
    <mergeCell ref="A32:J32"/>
    <mergeCell ref="A33:J33"/>
    <mergeCell ref="A26:B26"/>
    <mergeCell ref="D26:E26"/>
    <mergeCell ref="G26:I26"/>
    <mergeCell ref="A27:B27"/>
    <mergeCell ref="D27:E27"/>
    <mergeCell ref="G27:I27"/>
    <mergeCell ref="A23:C23"/>
    <mergeCell ref="G23:H23"/>
    <mergeCell ref="I23:J23"/>
    <mergeCell ref="A24:J24"/>
    <mergeCell ref="A25:B25"/>
    <mergeCell ref="D25:E25"/>
    <mergeCell ref="G25:I25"/>
    <mergeCell ref="A20:J20"/>
    <mergeCell ref="A21:C21"/>
    <mergeCell ref="G21:H21"/>
    <mergeCell ref="I21:J21"/>
    <mergeCell ref="A22:C22"/>
    <mergeCell ref="G22:H22"/>
    <mergeCell ref="I22:J22"/>
    <mergeCell ref="A18:C18"/>
    <mergeCell ref="G18:H18"/>
    <mergeCell ref="I18:J18"/>
    <mergeCell ref="A19:C19"/>
    <mergeCell ref="G19:H19"/>
    <mergeCell ref="I19:J19"/>
    <mergeCell ref="A16:C16"/>
    <mergeCell ref="G16:H16"/>
    <mergeCell ref="I16:J16"/>
    <mergeCell ref="A17:C17"/>
    <mergeCell ref="G17:H17"/>
    <mergeCell ref="I17:J17"/>
    <mergeCell ref="A14:C14"/>
    <mergeCell ref="G14:H14"/>
    <mergeCell ref="I14:J14"/>
    <mergeCell ref="A15:C15"/>
    <mergeCell ref="G15:H15"/>
    <mergeCell ref="I15:J15"/>
    <mergeCell ref="A12:C12"/>
    <mergeCell ref="G12:H12"/>
    <mergeCell ref="I12:J12"/>
    <mergeCell ref="A13:C13"/>
    <mergeCell ref="G13:H13"/>
    <mergeCell ref="I13:J13"/>
    <mergeCell ref="A10:C10"/>
    <mergeCell ref="G10:H10"/>
    <mergeCell ref="I10:J10"/>
    <mergeCell ref="A11:C11"/>
    <mergeCell ref="G11:H11"/>
    <mergeCell ref="I11:J11"/>
    <mergeCell ref="B7:D8"/>
    <mergeCell ref="F7:F8"/>
    <mergeCell ref="G7:H8"/>
    <mergeCell ref="I7:J7"/>
    <mergeCell ref="I8:J8"/>
    <mergeCell ref="A9:J9"/>
    <mergeCell ref="C5:D5"/>
    <mergeCell ref="G5:H5"/>
    <mergeCell ref="A6:B6"/>
    <mergeCell ref="C6:D6"/>
    <mergeCell ref="E6:F6"/>
    <mergeCell ref="G6:H6"/>
    <mergeCell ref="B1:C1"/>
    <mergeCell ref="D1:F2"/>
    <mergeCell ref="G1:J1"/>
    <mergeCell ref="H2:J2"/>
    <mergeCell ref="G3:J3"/>
    <mergeCell ref="B4:F4"/>
    <mergeCell ref="I4:J4"/>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david.wu@i-powers.com.tw</dc:creator>
  <cp:lastModifiedBy>david.wu@i-powers.com.tw</cp:lastModifiedBy>
  <dcterms:created xsi:type="dcterms:W3CDTF">2026-09-24T00:42:48Z</dcterms:created>
  <dcterms:modified xsi:type="dcterms:W3CDTF">2026-09-24T01:23:22Z</dcterms:modified>
</cp:coreProperties>
</file>